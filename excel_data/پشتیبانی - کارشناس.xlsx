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.sabet\Desktop\Daily Report\"/>
    </mc:Choice>
  </mc:AlternateContent>
  <xr:revisionPtr revIDLastSave="0" documentId="8_{89EEBD27-DC69-4ED6-9A02-89FBF9D100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_Log" sheetId="1" r:id="rId1"/>
    <sheet name="Task_Mapping" sheetId="4" r:id="rId2"/>
    <sheet name="KPI" sheetId="5" r:id="rId3"/>
    <sheet name="Dashboard" sheetId="2" r:id="rId4"/>
    <sheet name="Config" sheetId="3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E2" i="1" s="1"/>
  <c r="C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3" i="1"/>
  <c r="D4" i="1"/>
  <c r="E4" i="1" s="1"/>
  <c r="D3" i="1"/>
  <c r="E3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3" i="1"/>
  <c r="B3" i="2"/>
  <c r="B2" i="2"/>
  <c r="B4" i="2" l="1"/>
  <c r="B1" i="2"/>
</calcChain>
</file>

<file path=xl/sharedStrings.xml><?xml version="1.0" encoding="utf-8"?>
<sst xmlns="http://schemas.openxmlformats.org/spreadsheetml/2006/main" count="87" uniqueCount="44">
  <si>
    <t>Date</t>
  </si>
  <si>
    <t>Task Title</t>
  </si>
  <si>
    <t>Priority</t>
  </si>
  <si>
    <t>Weight</t>
  </si>
  <si>
    <t>Start Time</t>
  </si>
  <si>
    <t>End Time</t>
  </si>
  <si>
    <t>Duration (Hours)</t>
  </si>
  <si>
    <t>Focus Score</t>
  </si>
  <si>
    <t>Status</t>
  </si>
  <si>
    <t>Notes</t>
  </si>
  <si>
    <t>Total Hours</t>
  </si>
  <si>
    <t>Total Focus Score</t>
  </si>
  <si>
    <t>Completed Tasks</t>
  </si>
  <si>
    <t>Average Focus per Task</t>
  </si>
  <si>
    <t>فوری (Urgent)</t>
  </si>
  <si>
    <t>ضروری (Essential)</t>
  </si>
  <si>
    <t>مهم (Important)</t>
  </si>
  <si>
    <t>قابل پیگیری (Follow-up)</t>
  </si>
  <si>
    <t>Quality</t>
  </si>
  <si>
    <t>To Do</t>
  </si>
  <si>
    <t>هماهنگی و نظارت بر تردد کارکنان و مراجعین</t>
  </si>
  <si>
    <t>کنترل و ثبت 100٪ ورود و خروج کارکنان، مهمان‌ها و مراجعین مطابق ضوابط انضباطی</t>
  </si>
  <si>
    <t>مدیریت مأموریت و تردد تحصیلداران</t>
  </si>
  <si>
    <t>برنامه‌ریزی 100٪ مأموریت‌ها و دریافت گزارش عملکرد در موعد مقرر بدون مورد معوق</t>
  </si>
  <si>
    <t>مدیریت امور حراست و نگهبانی</t>
  </si>
  <si>
    <t>تنظیم شیفت‌ها و نظارت بر امنیت و انضباط با پوشش 100٪ ساعات کاری بدون رخداد امنیتی</t>
  </si>
  <si>
    <t>هماهنگی و نظارت بر خدمات عمومی و تشریفات سازمانی</t>
  </si>
  <si>
    <t>نگهداری ساختمان و تأمین ملزومات</t>
  </si>
  <si>
    <t>انجام سرویس‌های دوره‌ای و رفع 100٪ خرابی‌ها حداکثر تا 2 روز کاری و تأمین به‌موقع اقلام مصرفی</t>
  </si>
  <si>
    <t>اجرای 100٪ خدمات پذیرایی، جلسات و رویدادهای داخلی طبق برنامه و بدون نارضایتی ثبت‌شده</t>
  </si>
  <si>
    <t>مدیریت اموال و انبارداری</t>
  </si>
  <si>
    <t>به‌روزرسانی 100٪ لیست اموال و رسیدگی به درخواست تجهیزات پرسنل در زمان مقرر بدون مغایرت موجودی</t>
  </si>
  <si>
    <t>پشتیبانی اداری و زیرساختی شعب</t>
  </si>
  <si>
    <t>رسیدگی به 100٪ درخواست‌های زیرساختی و توسعه فضای فیزیکی شعب در چارچوب زمان‌بندی مصوب</t>
  </si>
  <si>
    <t>امور اداری پرسنل و ایستگاه‌های معاملاتی</t>
  </si>
  <si>
    <t>انجام 100٪ هماهنگی‌های ورود و خروج پرسنل و اخذ/تمدید ایستگاه‌های معاملاتی در مهلت مقرر</t>
  </si>
  <si>
    <t>برنامه‌ریزی و پایش عملکرد تیم خدمات</t>
  </si>
  <si>
    <t>ارزیابی دوره‌ای 100٪ کارکنان تیم و اجرای حداقل یک اقدام بهبود عملکرد در هر دوره ارزیابی</t>
  </si>
  <si>
    <t>کنترل بودجه و هزینه‌های پشتیبانی</t>
  </si>
  <si>
    <t>برنامه ریزی هزینه‌های جاری در چارچوب بودجه مصوب و ارائه گزارش ماهانه بدون مغایرت مالی</t>
  </si>
  <si>
    <t>مدیریت ریسک‌های عملیاتی و ایمنی ساختمان</t>
  </si>
  <si>
    <t>بهبود فرآیندهای خدمات و پشتیبانی</t>
  </si>
  <si>
    <t>شناسایی و پایش 100٪ ریسک‌های ایمنی و اجرای اقدامات اصلاحی پیشگیرانه در زمان مقرر</t>
  </si>
  <si>
    <t>ارائه و اجرای حداقل یک پیشنهاد بهبود فرآیندی در هر فصل جهت افزایش بهره‌وری و کاهش هزینه‌ها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</si>
</sst>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2" borderId="0" xfId="0" applyFont="1" applyFill="1"/>
    <xf numFmtId="0" fontId="2" fillId="0" borderId="3" xfId="0" applyFont="1" applyBorder="1"/>
    <xf numFmtId="0" fontId="0" fillId="0" borderId="0" xfId="0" applyFont="1" applyAlignment="1">
      <alignment horizontal="right" readingOrder="2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2008CD-F503-4461-8059-E1EFFC353A40}" name="Table1" displayName="Table1" ref="A1:K2" insertRowShift="1" totalsRowShown="0" headerRowDxfId="19" dataDxfId="17" headerRowBorderDxfId="18" tableBorderDxfId="16" totalsRowBorderDxfId="15">
  <autoFilter ref="A1:K2" xr:uid="{882008CD-F503-4461-8059-E1EFFC353A40}"/>
  <tableColumns count="11">
    <tableColumn id="1" xr3:uid="{5F39DD1E-3F58-4048-A845-F1FE2123D9E1}" name="Date" dataDxfId="14"/>
    <tableColumn id="2" xr3:uid="{7F75E32B-86C1-4ADB-BA33-485DFFCA0D99}" name="Task Title" dataDxfId="13"/>
    <tableColumn id="3" xr3:uid="{C378FD35-694E-4B91-AEC2-F928AFDA4A38}" name="To Do" dataDxfId="12">
      <calculatedColumnFormula>IFERROR(VLOOKUP(B2,KPI!A:B,2,FALSE),)</calculatedColumnFormula>
    </tableColumn>
    <tableColumn id="11" xr3:uid="{BED9BE0D-9BAC-4B18-B9B9-BADDC38624A8}" name="Priority" dataDxfId="11">
      <calculatedColumnFormula>IFERROR(VLOOKUP(B2,Task_Mapping!A:B,2,FALSE),)</calculatedColumnFormula>
    </tableColumn>
    <tableColumn id="4" xr3:uid="{4FD43129-1997-4043-B977-723B0B77015F}" name="Weight" dataDxfId="10">
      <calculatedColumnFormula>IFERROR(VLOOKUP(D2,Config!A:B,2,FALSE),)</calculatedColumnFormula>
    </tableColumn>
    <tableColumn id="5" xr3:uid="{39D5EF5D-BACA-4EFA-9D3C-AF62363865B6}" name="Start Time" dataDxfId="9"/>
    <tableColumn id="6" xr3:uid="{831AA866-8592-4106-B154-5C4E4C924E9E}" name="End Time" dataDxfId="8"/>
    <tableColumn id="7" xr3:uid="{7A60A899-BDE2-40F6-B07D-DC8C2C6F8132}" name="Duration (Hours)" dataDxfId="7"/>
    <tableColumn id="8" xr3:uid="{A2289791-7CAD-49D3-A654-91B5F01D7B8B}" name="Focus Score" dataDxfId="6"/>
    <tableColumn id="9" xr3:uid="{BFAA52D3-5359-4588-AFA6-767F68435FD6}" name="Status" dataDxfId="5"/>
    <tableColumn id="10" xr3:uid="{4F01CE0E-83B9-4A06-985B-C788E0ECBC09}" name="Notes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2"/>
  <sheetViews>
    <sheetView tabSelected="1" workbookViewId="0">
      <selection activeCell="B8" sqref="B8"/>
    </sheetView>
  </sheetViews>
  <sheetFormatPr defaultRowHeight="14.5" x14ac:dyDescent="0.35"/>
  <cols>
    <col min="1" max="1" width="18" style="2" customWidth="1"/>
    <col min="2" max="2" width="38.1796875" style="2" customWidth="1"/>
    <col min="3" max="3" width="74.36328125" style="2" customWidth="1"/>
    <col min="4" max="4" width="18.54296875" style="2" bestFit="1" customWidth="1"/>
    <col min="5" max="5" width="9.08984375" style="2" bestFit="1" customWidth="1"/>
    <col min="6" max="11" width="18" style="2" customWidth="1"/>
    <col min="12" max="16384" width="8.7265625" style="2"/>
  </cols>
  <sheetData>
    <row r="1" spans="1:11" x14ac:dyDescent="0.35">
      <c r="A1" s="3" t="s">
        <v>0</v>
      </c>
      <c r="B1" s="4" t="s">
        <v>1</v>
      </c>
      <c r="C1" s="7" t="s">
        <v>19</v>
      </c>
      <c r="D1" s="7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</row>
    <row r="2" spans="1:11" x14ac:dyDescent="0.35">
      <c r="C2" s="2">
        <f>IFERROR(VLOOKUP(B2,KPI!A:B,2,FALSE),)</f>
        <v>0</v>
      </c>
      <c r="D2" s="2">
        <f>IFERROR(VLOOKUP(B2,Task_Mapping!A:B,2,FALSE),)</f>
        <v>0</v>
      </c>
      <c r="E2" s="2">
        <f>IFERROR(VLOOKUP(D2,Config!A:B,2,FALSE),)</f>
        <v>0</v>
      </c>
    </row>
    <row r="3" spans="1:11" x14ac:dyDescent="0.35">
      <c r="C3" s="2">
        <f>IFERROR(VLOOKUP(B3,KPI!A:B,2,FALSE),)</f>
        <v>0</v>
      </c>
      <c r="D3" s="2">
        <f>IFERROR(VLOOKUP(B3,Task_Mapping!A:B,2,FALSE),)</f>
        <v>0</v>
      </c>
      <c r="E3" s="2">
        <f>IFERROR(VLOOKUP(D3,Config!A:B,2,FALSE),)</f>
        <v>0</v>
      </c>
      <c r="H3" s="2">
        <f>((G3 - F3)*24)</f>
        <v>0</v>
      </c>
    </row>
    <row r="4" spans="1:11" x14ac:dyDescent="0.35">
      <c r="C4" s="2">
        <f>IFERROR(VLOOKUP(B4,KPI!A:B,2,FALSE),)</f>
        <v>0</v>
      </c>
      <c r="D4" s="2">
        <f>IFERROR(VLOOKUP(B4,Task_Mapping!A:B,2,FALSE),)</f>
        <v>0</v>
      </c>
      <c r="E4" s="2">
        <f>IFERROR(VLOOKUP(D4,Config!A:B,2,FALSE),)</f>
        <v>0</v>
      </c>
      <c r="H4" s="2">
        <f>((G4 - F4)*24)</f>
        <v>0</v>
      </c>
    </row>
    <row r="5" spans="1:11" x14ac:dyDescent="0.35">
      <c r="C5" s="2">
        <f>IFERROR(VLOOKUP(B5,KPI!A:B,2,FALSE),)</f>
        <v>0</v>
      </c>
      <c r="D5" s="2">
        <f>IFERROR(VLOOKUP(B5,Task_Mapping!A:B,2,FALSE),)</f>
        <v>0</v>
      </c>
      <c r="E5" s="2">
        <f>IFERROR(VLOOKUP(D5,Config!A:B,2,FALSE),)</f>
        <v>0</v>
      </c>
      <c r="H5" s="2">
        <f t="shared" ref="H5:H67" si="0">((G5 - F5)*24)</f>
        <v>0</v>
      </c>
    </row>
    <row r="6" spans="1:11" x14ac:dyDescent="0.35">
      <c r="C6" s="2">
        <f>IFERROR(VLOOKUP(B6,KPI!A:B,2,FALSE),)</f>
        <v>0</v>
      </c>
      <c r="D6" s="2">
        <f>IFERROR(VLOOKUP(B6,Task_Mapping!A:B,2,FALSE),)</f>
        <v>0</v>
      </c>
      <c r="E6" s="2">
        <f>IFERROR(VLOOKUP(D6,Config!A:B,2,FALSE),)</f>
        <v>0</v>
      </c>
      <c r="H6" s="2">
        <f t="shared" si="0"/>
        <v>0</v>
      </c>
    </row>
    <row r="7" spans="1:11" x14ac:dyDescent="0.35">
      <c r="C7" s="2">
        <f>IFERROR(VLOOKUP(B7,KPI!A:B,2,FALSE),)</f>
        <v>0</v>
      </c>
      <c r="D7" s="2">
        <f>IFERROR(VLOOKUP(B7,Task_Mapping!A:B,2,FALSE),)</f>
        <v>0</v>
      </c>
      <c r="E7" s="2">
        <f>IFERROR(VLOOKUP(D7,Config!A:B,2,FALSE),)</f>
        <v>0</v>
      </c>
      <c r="H7" s="2">
        <f t="shared" si="0"/>
        <v>0</v>
      </c>
    </row>
    <row r="8" spans="1:11" x14ac:dyDescent="0.35">
      <c r="C8" s="2">
        <f>IFERROR(VLOOKUP(B8,KPI!A:B,2,FALSE),)</f>
        <v>0</v>
      </c>
      <c r="D8" s="2">
        <f>IFERROR(VLOOKUP(B8,Task_Mapping!A:B,2,FALSE),)</f>
        <v>0</v>
      </c>
      <c r="E8" s="2">
        <f>IFERROR(VLOOKUP(D8,Config!A:B,2,FALSE),)</f>
        <v>0</v>
      </c>
      <c r="H8" s="2">
        <f t="shared" si="0"/>
        <v>0</v>
      </c>
    </row>
    <row r="9" spans="1:11" x14ac:dyDescent="0.35">
      <c r="C9" s="2">
        <f>IFERROR(VLOOKUP(B9,KPI!A:B,2,FALSE),)</f>
        <v>0</v>
      </c>
      <c r="D9" s="2">
        <f>IFERROR(VLOOKUP(B9,Task_Mapping!A:B,2,FALSE),)</f>
        <v>0</v>
      </c>
      <c r="E9" s="2">
        <f>IFERROR(VLOOKUP(D9,Config!A:B,2,FALSE),)</f>
        <v>0</v>
      </c>
      <c r="H9" s="2">
        <f t="shared" si="0"/>
        <v>0</v>
      </c>
    </row>
    <row r="10" spans="1:11" x14ac:dyDescent="0.35">
      <c r="C10" s="2">
        <f>IFERROR(VLOOKUP(B10,KPI!A:B,2,FALSE),)</f>
        <v>0</v>
      </c>
      <c r="D10" s="2">
        <f>IFERROR(VLOOKUP(B10,Task_Mapping!A:B,2,FALSE),)</f>
        <v>0</v>
      </c>
      <c r="E10" s="2">
        <f>IFERROR(VLOOKUP(D10,Config!A:B,2,FALSE),)</f>
        <v>0</v>
      </c>
      <c r="H10" s="2">
        <f t="shared" si="0"/>
        <v>0</v>
      </c>
    </row>
    <row r="11" spans="1:11" x14ac:dyDescent="0.35">
      <c r="C11" s="2">
        <f>IFERROR(VLOOKUP(B11,KPI!A:B,2,FALSE),)</f>
        <v>0</v>
      </c>
      <c r="D11" s="2">
        <f>IFERROR(VLOOKUP(B11,Task_Mapping!A:B,2,FALSE),)</f>
        <v>0</v>
      </c>
      <c r="E11" s="2">
        <f>IFERROR(VLOOKUP(D11,Config!A:B,2,FALSE),)</f>
        <v>0</v>
      </c>
      <c r="H11" s="2">
        <f t="shared" si="0"/>
        <v>0</v>
      </c>
    </row>
    <row r="12" spans="1:11" x14ac:dyDescent="0.35">
      <c r="C12" s="2">
        <f>IFERROR(VLOOKUP(B12,KPI!A:B,2,FALSE),)</f>
        <v>0</v>
      </c>
      <c r="D12" s="2">
        <f>IFERROR(VLOOKUP(B12,Task_Mapping!A:B,2,FALSE),)</f>
        <v>0</v>
      </c>
      <c r="E12" s="2">
        <f>IFERROR(VLOOKUP(D12,Config!A:B,2,FALSE),)</f>
        <v>0</v>
      </c>
      <c r="H12" s="2">
        <f t="shared" si="0"/>
        <v>0</v>
      </c>
    </row>
    <row r="13" spans="1:11" x14ac:dyDescent="0.35">
      <c r="C13" s="2">
        <f>IFERROR(VLOOKUP(B13,KPI!A:B,2,FALSE),)</f>
        <v>0</v>
      </c>
      <c r="D13" s="2">
        <f>IFERROR(VLOOKUP(B13,Task_Mapping!A:B,2,FALSE),)</f>
        <v>0</v>
      </c>
      <c r="E13" s="2">
        <f>IFERROR(VLOOKUP(D13,Config!A:B,2,FALSE),)</f>
        <v>0</v>
      </c>
      <c r="H13" s="2">
        <f t="shared" si="0"/>
        <v>0</v>
      </c>
    </row>
    <row r="14" spans="1:11" x14ac:dyDescent="0.35">
      <c r="C14" s="2">
        <f>IFERROR(VLOOKUP(B14,KPI!A:B,2,FALSE),)</f>
        <v>0</v>
      </c>
      <c r="D14" s="2">
        <f>IFERROR(VLOOKUP(B14,Task_Mapping!A:B,2,FALSE),)</f>
        <v>0</v>
      </c>
      <c r="E14" s="2">
        <f>IFERROR(VLOOKUP(D14,Config!A:B,2,FALSE),)</f>
        <v>0</v>
      </c>
      <c r="H14" s="2">
        <f t="shared" si="0"/>
        <v>0</v>
      </c>
    </row>
    <row r="15" spans="1:11" x14ac:dyDescent="0.35">
      <c r="C15" s="2">
        <f>IFERROR(VLOOKUP(B15,KPI!A:B,2,FALSE),)</f>
        <v>0</v>
      </c>
      <c r="D15" s="2">
        <f>IFERROR(VLOOKUP(B15,Task_Mapping!A:B,2,FALSE),)</f>
        <v>0</v>
      </c>
      <c r="E15" s="2">
        <f>IFERROR(VLOOKUP(D15,Config!A:B,2,FALSE),)</f>
        <v>0</v>
      </c>
      <c r="H15" s="2">
        <f t="shared" si="0"/>
        <v>0</v>
      </c>
    </row>
    <row r="16" spans="1:11" x14ac:dyDescent="0.35">
      <c r="C16" s="2">
        <f>IFERROR(VLOOKUP(B16,KPI!A:B,2,FALSE),)</f>
        <v>0</v>
      </c>
      <c r="D16" s="2">
        <f>IFERROR(VLOOKUP(B16,Task_Mapping!A:B,2,FALSE),)</f>
        <v>0</v>
      </c>
      <c r="E16" s="2">
        <f>IFERROR(VLOOKUP(D16,Config!A:B,2,FALSE),)</f>
        <v>0</v>
      </c>
      <c r="H16" s="2">
        <f t="shared" si="0"/>
        <v>0</v>
      </c>
    </row>
    <row r="17" spans="3:8" x14ac:dyDescent="0.35">
      <c r="C17" s="2">
        <f>IFERROR(VLOOKUP(B17,KPI!A:B,2,FALSE),)</f>
        <v>0</v>
      </c>
      <c r="D17" s="2">
        <f>IFERROR(VLOOKUP(B17,Task_Mapping!A:B,2,FALSE),)</f>
        <v>0</v>
      </c>
      <c r="E17" s="2">
        <f>IFERROR(VLOOKUP(D17,Config!A:B,2,FALSE),)</f>
        <v>0</v>
      </c>
      <c r="H17" s="2">
        <f t="shared" si="0"/>
        <v>0</v>
      </c>
    </row>
    <row r="18" spans="3:8" x14ac:dyDescent="0.35">
      <c r="C18" s="2">
        <f>IFERROR(VLOOKUP(B18,KPI!A:B,2,FALSE),)</f>
        <v>0</v>
      </c>
      <c r="D18" s="2">
        <f>IFERROR(VLOOKUP(B18,Task_Mapping!A:B,2,FALSE),)</f>
        <v>0</v>
      </c>
      <c r="E18" s="2">
        <f>IFERROR(VLOOKUP(D18,Config!A:B,2,FALSE),)</f>
        <v>0</v>
      </c>
      <c r="H18" s="2">
        <f t="shared" si="0"/>
        <v>0</v>
      </c>
    </row>
    <row r="19" spans="3:8" x14ac:dyDescent="0.35">
      <c r="C19" s="2">
        <f>IFERROR(VLOOKUP(B19,KPI!A:B,2,FALSE),)</f>
        <v>0</v>
      </c>
      <c r="D19" s="2">
        <f>IFERROR(VLOOKUP(B19,Task_Mapping!A:B,2,FALSE),)</f>
        <v>0</v>
      </c>
      <c r="E19" s="2">
        <f>IFERROR(VLOOKUP(D19,Config!A:B,2,FALSE),)</f>
        <v>0</v>
      </c>
      <c r="H19" s="2">
        <f t="shared" si="0"/>
        <v>0</v>
      </c>
    </row>
    <row r="20" spans="3:8" x14ac:dyDescent="0.35">
      <c r="C20" s="2">
        <f>IFERROR(VLOOKUP(B20,KPI!A:B,2,FALSE),)</f>
        <v>0</v>
      </c>
      <c r="D20" s="2">
        <f>IFERROR(VLOOKUP(B20,Task_Mapping!A:B,2,FALSE),)</f>
        <v>0</v>
      </c>
      <c r="E20" s="2">
        <f>IFERROR(VLOOKUP(D20,Config!A:B,2,FALSE),)</f>
        <v>0</v>
      </c>
      <c r="H20" s="2">
        <f t="shared" si="0"/>
        <v>0</v>
      </c>
    </row>
    <row r="21" spans="3:8" x14ac:dyDescent="0.35">
      <c r="C21" s="2">
        <f>IFERROR(VLOOKUP(B21,KPI!A:B,2,FALSE),)</f>
        <v>0</v>
      </c>
      <c r="D21" s="2">
        <f>IFERROR(VLOOKUP(B21,Task_Mapping!A:B,2,FALSE),)</f>
        <v>0</v>
      </c>
      <c r="E21" s="2">
        <f>IFERROR(VLOOKUP(D21,Config!A:B,2,FALSE),)</f>
        <v>0</v>
      </c>
      <c r="H21" s="2">
        <f t="shared" si="0"/>
        <v>0</v>
      </c>
    </row>
    <row r="22" spans="3:8" x14ac:dyDescent="0.35">
      <c r="C22" s="2">
        <f>IFERROR(VLOOKUP(B22,KPI!A:B,2,FALSE),)</f>
        <v>0</v>
      </c>
      <c r="D22" s="2">
        <f>IFERROR(VLOOKUP(B22,Task_Mapping!A:B,2,FALSE),)</f>
        <v>0</v>
      </c>
      <c r="E22" s="2">
        <f>IFERROR(VLOOKUP(D22,Config!A:B,2,FALSE),)</f>
        <v>0</v>
      </c>
      <c r="H22" s="2">
        <f t="shared" si="0"/>
        <v>0</v>
      </c>
    </row>
    <row r="23" spans="3:8" x14ac:dyDescent="0.35">
      <c r="C23" s="2">
        <f>IFERROR(VLOOKUP(B23,KPI!A:B,2,FALSE),)</f>
        <v>0</v>
      </c>
      <c r="D23" s="2">
        <f>IFERROR(VLOOKUP(B23,Task_Mapping!A:B,2,FALSE),)</f>
        <v>0</v>
      </c>
      <c r="E23" s="2">
        <f>IFERROR(VLOOKUP(D23,Config!A:B,2,FALSE),)</f>
        <v>0</v>
      </c>
      <c r="H23" s="2">
        <f t="shared" si="0"/>
        <v>0</v>
      </c>
    </row>
    <row r="24" spans="3:8" x14ac:dyDescent="0.35">
      <c r="C24" s="2">
        <f>IFERROR(VLOOKUP(B24,KPI!A:B,2,FALSE),)</f>
        <v>0</v>
      </c>
      <c r="D24" s="2">
        <f>IFERROR(VLOOKUP(B24,Task_Mapping!A:B,2,FALSE),)</f>
        <v>0</v>
      </c>
      <c r="E24" s="2">
        <f>IFERROR(VLOOKUP(D24,Config!A:B,2,FALSE),)</f>
        <v>0</v>
      </c>
      <c r="H24" s="2">
        <f t="shared" si="0"/>
        <v>0</v>
      </c>
    </row>
    <row r="25" spans="3:8" x14ac:dyDescent="0.35">
      <c r="C25" s="2">
        <f>IFERROR(VLOOKUP(B25,KPI!A:B,2,FALSE),)</f>
        <v>0</v>
      </c>
      <c r="D25" s="2">
        <f>IFERROR(VLOOKUP(B25,Task_Mapping!A:B,2,FALSE),)</f>
        <v>0</v>
      </c>
      <c r="E25" s="2">
        <f>IFERROR(VLOOKUP(D25,Config!A:B,2,FALSE),)</f>
        <v>0</v>
      </c>
      <c r="H25" s="2">
        <f t="shared" si="0"/>
        <v>0</v>
      </c>
    </row>
    <row r="26" spans="3:8" x14ac:dyDescent="0.35">
      <c r="C26" s="2">
        <f>IFERROR(VLOOKUP(B26,KPI!A:B,2,FALSE),)</f>
        <v>0</v>
      </c>
      <c r="D26" s="2">
        <f>IFERROR(VLOOKUP(B26,Task_Mapping!A:B,2,FALSE),)</f>
        <v>0</v>
      </c>
      <c r="E26" s="2">
        <f>IFERROR(VLOOKUP(D26,Config!A:B,2,FALSE),)</f>
        <v>0</v>
      </c>
      <c r="H26" s="2">
        <f t="shared" si="0"/>
        <v>0</v>
      </c>
    </row>
    <row r="27" spans="3:8" x14ac:dyDescent="0.35">
      <c r="C27" s="2">
        <f>IFERROR(VLOOKUP(B27,KPI!A:B,2,FALSE),)</f>
        <v>0</v>
      </c>
      <c r="D27" s="2">
        <f>IFERROR(VLOOKUP(B27,Task_Mapping!A:B,2,FALSE),)</f>
        <v>0</v>
      </c>
      <c r="E27" s="2">
        <f>IFERROR(VLOOKUP(D27,Config!A:B,2,FALSE),)</f>
        <v>0</v>
      </c>
      <c r="H27" s="2">
        <f t="shared" si="0"/>
        <v>0</v>
      </c>
    </row>
    <row r="28" spans="3:8" x14ac:dyDescent="0.35">
      <c r="C28" s="2">
        <f>IFERROR(VLOOKUP(B28,KPI!A:B,2,FALSE),)</f>
        <v>0</v>
      </c>
      <c r="D28" s="2">
        <f>IFERROR(VLOOKUP(B28,Task_Mapping!A:B,2,FALSE),)</f>
        <v>0</v>
      </c>
      <c r="E28" s="2">
        <f>IFERROR(VLOOKUP(D28,Config!A:B,2,FALSE),)</f>
        <v>0</v>
      </c>
      <c r="H28" s="2">
        <f t="shared" si="0"/>
        <v>0</v>
      </c>
    </row>
    <row r="29" spans="3:8" x14ac:dyDescent="0.35">
      <c r="C29" s="2">
        <f>IFERROR(VLOOKUP(B29,KPI!A:B,2,FALSE),)</f>
        <v>0</v>
      </c>
      <c r="D29" s="2">
        <f>IFERROR(VLOOKUP(B29,Task_Mapping!A:B,2,FALSE),)</f>
        <v>0</v>
      </c>
      <c r="E29" s="2">
        <f>IFERROR(VLOOKUP(D29,Config!A:B,2,FALSE),)</f>
        <v>0</v>
      </c>
      <c r="H29" s="2">
        <f t="shared" si="0"/>
        <v>0</v>
      </c>
    </row>
    <row r="30" spans="3:8" x14ac:dyDescent="0.35">
      <c r="C30" s="2">
        <f>IFERROR(VLOOKUP(B30,KPI!A:B,2,FALSE),)</f>
        <v>0</v>
      </c>
      <c r="D30" s="2">
        <f>IFERROR(VLOOKUP(B30,Task_Mapping!A:B,2,FALSE),)</f>
        <v>0</v>
      </c>
      <c r="E30" s="2">
        <f>IFERROR(VLOOKUP(D30,Config!A:B,2,FALSE),)</f>
        <v>0</v>
      </c>
      <c r="H30" s="2">
        <f t="shared" si="0"/>
        <v>0</v>
      </c>
    </row>
    <row r="31" spans="3:8" x14ac:dyDescent="0.35">
      <c r="C31" s="2">
        <f>IFERROR(VLOOKUP(B31,KPI!A:B,2,FALSE),)</f>
        <v>0</v>
      </c>
      <c r="D31" s="2">
        <f>IFERROR(VLOOKUP(B31,Task_Mapping!A:B,2,FALSE),)</f>
        <v>0</v>
      </c>
      <c r="E31" s="2">
        <f>IFERROR(VLOOKUP(D31,Config!A:B,2,FALSE),)</f>
        <v>0</v>
      </c>
      <c r="H31" s="2">
        <f t="shared" si="0"/>
        <v>0</v>
      </c>
    </row>
    <row r="32" spans="3:8" x14ac:dyDescent="0.35">
      <c r="C32" s="2">
        <f>IFERROR(VLOOKUP(B32,KPI!A:B,2,FALSE),)</f>
        <v>0</v>
      </c>
      <c r="D32" s="2">
        <f>IFERROR(VLOOKUP(B32,Task_Mapping!A:B,2,FALSE),)</f>
        <v>0</v>
      </c>
      <c r="E32" s="2">
        <f>IFERROR(VLOOKUP(D32,Config!A:B,2,FALSE),)</f>
        <v>0</v>
      </c>
      <c r="H32" s="2">
        <f t="shared" si="0"/>
        <v>0</v>
      </c>
    </row>
    <row r="33" spans="3:8" x14ac:dyDescent="0.35">
      <c r="C33" s="2">
        <f>IFERROR(VLOOKUP(B33,KPI!A:B,2,FALSE),)</f>
        <v>0</v>
      </c>
      <c r="D33" s="2">
        <f>IFERROR(VLOOKUP(B33,Task_Mapping!A:B,2,FALSE),)</f>
        <v>0</v>
      </c>
      <c r="E33" s="2">
        <f>IFERROR(VLOOKUP(D33,Config!A:B,2,FALSE),)</f>
        <v>0</v>
      </c>
      <c r="H33" s="2">
        <f t="shared" si="0"/>
        <v>0</v>
      </c>
    </row>
    <row r="34" spans="3:8" x14ac:dyDescent="0.35">
      <c r="C34" s="2">
        <f>IFERROR(VLOOKUP(B34,KPI!A:B,2,FALSE),)</f>
        <v>0</v>
      </c>
      <c r="D34" s="2">
        <f>IFERROR(VLOOKUP(B34,Task_Mapping!A:B,2,FALSE),)</f>
        <v>0</v>
      </c>
      <c r="E34" s="2">
        <f>IFERROR(VLOOKUP(D34,Config!A:B,2,FALSE),)</f>
        <v>0</v>
      </c>
      <c r="H34" s="2">
        <f t="shared" si="0"/>
        <v>0</v>
      </c>
    </row>
    <row r="35" spans="3:8" x14ac:dyDescent="0.35">
      <c r="C35" s="2">
        <f>IFERROR(VLOOKUP(B35,KPI!A:B,2,FALSE),)</f>
        <v>0</v>
      </c>
      <c r="D35" s="2">
        <f>IFERROR(VLOOKUP(B35,Task_Mapping!A:B,2,FALSE),)</f>
        <v>0</v>
      </c>
      <c r="E35" s="2">
        <f>IFERROR(VLOOKUP(D35,Config!A:B,2,FALSE),)</f>
        <v>0</v>
      </c>
      <c r="H35" s="2">
        <f t="shared" si="0"/>
        <v>0</v>
      </c>
    </row>
    <row r="36" spans="3:8" x14ac:dyDescent="0.35">
      <c r="C36" s="2">
        <f>IFERROR(VLOOKUP(B36,KPI!A:B,2,FALSE),)</f>
        <v>0</v>
      </c>
      <c r="D36" s="2">
        <f>IFERROR(VLOOKUP(B36,Task_Mapping!A:B,2,FALSE),)</f>
        <v>0</v>
      </c>
      <c r="E36" s="2">
        <f>IFERROR(VLOOKUP(D36,Config!A:B,2,FALSE),)</f>
        <v>0</v>
      </c>
      <c r="H36" s="2">
        <f t="shared" si="0"/>
        <v>0</v>
      </c>
    </row>
    <row r="37" spans="3:8" x14ac:dyDescent="0.35">
      <c r="C37" s="2">
        <f>IFERROR(VLOOKUP(B37,KPI!A:B,2,FALSE),)</f>
        <v>0</v>
      </c>
      <c r="D37" s="2">
        <f>IFERROR(VLOOKUP(B37,Task_Mapping!A:B,2,FALSE),)</f>
        <v>0</v>
      </c>
      <c r="E37" s="2">
        <f>IFERROR(VLOOKUP(D37,Config!A:B,2,FALSE),)</f>
        <v>0</v>
      </c>
      <c r="H37" s="2">
        <f t="shared" si="0"/>
        <v>0</v>
      </c>
    </row>
    <row r="38" spans="3:8" x14ac:dyDescent="0.35">
      <c r="C38" s="2">
        <f>IFERROR(VLOOKUP(B38,KPI!A:B,2,FALSE),)</f>
        <v>0</v>
      </c>
      <c r="D38" s="2">
        <f>IFERROR(VLOOKUP(B38,Task_Mapping!A:B,2,FALSE),)</f>
        <v>0</v>
      </c>
      <c r="E38" s="2">
        <f>IFERROR(VLOOKUP(D38,Config!A:B,2,FALSE),)</f>
        <v>0</v>
      </c>
      <c r="H38" s="2">
        <f t="shared" si="0"/>
        <v>0</v>
      </c>
    </row>
    <row r="39" spans="3:8" x14ac:dyDescent="0.35">
      <c r="C39" s="2">
        <f>IFERROR(VLOOKUP(B39,KPI!A:B,2,FALSE),)</f>
        <v>0</v>
      </c>
      <c r="D39" s="2">
        <f>IFERROR(VLOOKUP(B39,Task_Mapping!A:B,2,FALSE),)</f>
        <v>0</v>
      </c>
      <c r="E39" s="2">
        <f>IFERROR(VLOOKUP(D39,Config!A:B,2,FALSE),)</f>
        <v>0</v>
      </c>
      <c r="H39" s="2">
        <f t="shared" si="0"/>
        <v>0</v>
      </c>
    </row>
    <row r="40" spans="3:8" x14ac:dyDescent="0.35">
      <c r="C40" s="2">
        <f>IFERROR(VLOOKUP(B40,KPI!A:B,2,FALSE),)</f>
        <v>0</v>
      </c>
      <c r="D40" s="2">
        <f>IFERROR(VLOOKUP(B40,Task_Mapping!A:B,2,FALSE),)</f>
        <v>0</v>
      </c>
      <c r="E40" s="2">
        <f>IFERROR(VLOOKUP(D40,Config!A:B,2,FALSE),)</f>
        <v>0</v>
      </c>
      <c r="H40" s="2">
        <f t="shared" si="0"/>
        <v>0</v>
      </c>
    </row>
    <row r="41" spans="3:8" x14ac:dyDescent="0.35">
      <c r="C41" s="2">
        <f>IFERROR(VLOOKUP(B41,KPI!A:B,2,FALSE),)</f>
        <v>0</v>
      </c>
      <c r="D41" s="2">
        <f>IFERROR(VLOOKUP(B41,Task_Mapping!A:B,2,FALSE),)</f>
        <v>0</v>
      </c>
      <c r="E41" s="2">
        <f>IFERROR(VLOOKUP(D41,Config!A:B,2,FALSE),)</f>
        <v>0</v>
      </c>
      <c r="H41" s="2">
        <f t="shared" si="0"/>
        <v>0</v>
      </c>
    </row>
    <row r="42" spans="3:8" x14ac:dyDescent="0.35">
      <c r="C42" s="2">
        <f>IFERROR(VLOOKUP(B42,KPI!A:B,2,FALSE),)</f>
        <v>0</v>
      </c>
      <c r="D42" s="2">
        <f>IFERROR(VLOOKUP(B42,Task_Mapping!A:B,2,FALSE),)</f>
        <v>0</v>
      </c>
      <c r="E42" s="2">
        <f>IFERROR(VLOOKUP(D42,Config!A:B,2,FALSE),)</f>
        <v>0</v>
      </c>
      <c r="H42" s="2">
        <f t="shared" si="0"/>
        <v>0</v>
      </c>
    </row>
    <row r="43" spans="3:8" x14ac:dyDescent="0.35">
      <c r="C43" s="2">
        <f>IFERROR(VLOOKUP(B43,KPI!A:B,2,FALSE),)</f>
        <v>0</v>
      </c>
      <c r="D43" s="2">
        <f>IFERROR(VLOOKUP(B43,Task_Mapping!A:B,2,FALSE),)</f>
        <v>0</v>
      </c>
      <c r="E43" s="2">
        <f>IFERROR(VLOOKUP(D43,Config!A:B,2,FALSE),)</f>
        <v>0</v>
      </c>
      <c r="H43" s="2">
        <f t="shared" si="0"/>
        <v>0</v>
      </c>
    </row>
    <row r="44" spans="3:8" x14ac:dyDescent="0.35">
      <c r="C44" s="2">
        <f>IFERROR(VLOOKUP(B44,KPI!A:B,2,FALSE),)</f>
        <v>0</v>
      </c>
      <c r="D44" s="2">
        <f>IFERROR(VLOOKUP(B44,Task_Mapping!A:B,2,FALSE),)</f>
        <v>0</v>
      </c>
      <c r="E44" s="2">
        <f>IFERROR(VLOOKUP(D44,Config!A:B,2,FALSE),)</f>
        <v>0</v>
      </c>
      <c r="H44" s="2">
        <f t="shared" si="0"/>
        <v>0</v>
      </c>
    </row>
    <row r="45" spans="3:8" x14ac:dyDescent="0.35">
      <c r="C45" s="2">
        <f>IFERROR(VLOOKUP(B45,KPI!A:B,2,FALSE),)</f>
        <v>0</v>
      </c>
      <c r="D45" s="2">
        <f>IFERROR(VLOOKUP(B45,Task_Mapping!A:B,2,FALSE),)</f>
        <v>0</v>
      </c>
      <c r="E45" s="2">
        <f>IFERROR(VLOOKUP(D45,Config!A:B,2,FALSE),)</f>
        <v>0</v>
      </c>
      <c r="H45" s="2">
        <f t="shared" si="0"/>
        <v>0</v>
      </c>
    </row>
    <row r="46" spans="3:8" x14ac:dyDescent="0.35">
      <c r="C46" s="2">
        <f>IFERROR(VLOOKUP(B46,KPI!A:B,2,FALSE),)</f>
        <v>0</v>
      </c>
      <c r="D46" s="2">
        <f>IFERROR(VLOOKUP(B46,Task_Mapping!A:B,2,FALSE),)</f>
        <v>0</v>
      </c>
      <c r="E46" s="2">
        <f>IFERROR(VLOOKUP(D46,Config!A:B,2,FALSE),)</f>
        <v>0</v>
      </c>
      <c r="H46" s="2">
        <f t="shared" si="0"/>
        <v>0</v>
      </c>
    </row>
    <row r="47" spans="3:8" x14ac:dyDescent="0.35">
      <c r="C47" s="2">
        <f>IFERROR(VLOOKUP(B47,KPI!A:B,2,FALSE),)</f>
        <v>0</v>
      </c>
      <c r="D47" s="2">
        <f>IFERROR(VLOOKUP(B47,Task_Mapping!A:B,2,FALSE),)</f>
        <v>0</v>
      </c>
      <c r="E47" s="2">
        <f>IFERROR(VLOOKUP(D47,Config!A:B,2,FALSE),)</f>
        <v>0</v>
      </c>
      <c r="H47" s="2">
        <f t="shared" si="0"/>
        <v>0</v>
      </c>
    </row>
    <row r="48" spans="3:8" x14ac:dyDescent="0.35">
      <c r="C48" s="2">
        <f>IFERROR(VLOOKUP(B48,KPI!A:B,2,FALSE),)</f>
        <v>0</v>
      </c>
      <c r="D48" s="2">
        <f>IFERROR(VLOOKUP(B48,Task_Mapping!A:B,2,FALSE),)</f>
        <v>0</v>
      </c>
      <c r="E48" s="2">
        <f>IFERROR(VLOOKUP(D48,Config!A:B,2,FALSE),)</f>
        <v>0</v>
      </c>
      <c r="H48" s="2">
        <f t="shared" si="0"/>
        <v>0</v>
      </c>
    </row>
    <row r="49" spans="3:8" x14ac:dyDescent="0.35">
      <c r="C49" s="2">
        <f>IFERROR(VLOOKUP(B49,KPI!A:B,2,FALSE),)</f>
        <v>0</v>
      </c>
      <c r="D49" s="2">
        <f>IFERROR(VLOOKUP(B49,Task_Mapping!A:B,2,FALSE),)</f>
        <v>0</v>
      </c>
      <c r="E49" s="2">
        <f>IFERROR(VLOOKUP(D49,Config!A:B,2,FALSE),)</f>
        <v>0</v>
      </c>
      <c r="H49" s="2">
        <f t="shared" si="0"/>
        <v>0</v>
      </c>
    </row>
    <row r="50" spans="3:8" x14ac:dyDescent="0.35">
      <c r="C50" s="2">
        <f>IFERROR(VLOOKUP(B50,KPI!A:B,2,FALSE),)</f>
        <v>0</v>
      </c>
      <c r="D50" s="2">
        <f>IFERROR(VLOOKUP(B50,Task_Mapping!A:B,2,FALSE),)</f>
        <v>0</v>
      </c>
      <c r="E50" s="2">
        <f>IFERROR(VLOOKUP(D50,Config!A:B,2,FALSE),)</f>
        <v>0</v>
      </c>
      <c r="H50" s="2">
        <f t="shared" si="0"/>
        <v>0</v>
      </c>
    </row>
    <row r="51" spans="3:8" x14ac:dyDescent="0.35">
      <c r="C51" s="2">
        <f>IFERROR(VLOOKUP(B51,KPI!A:B,2,FALSE),)</f>
        <v>0</v>
      </c>
      <c r="D51" s="2">
        <f>IFERROR(VLOOKUP(B51,Task_Mapping!A:B,2,FALSE),)</f>
        <v>0</v>
      </c>
      <c r="E51" s="2">
        <f>IFERROR(VLOOKUP(D51,Config!A:B,2,FALSE),)</f>
        <v>0</v>
      </c>
      <c r="H51" s="2">
        <f t="shared" si="0"/>
        <v>0</v>
      </c>
    </row>
    <row r="52" spans="3:8" x14ac:dyDescent="0.35">
      <c r="C52" s="2">
        <f>IFERROR(VLOOKUP(B52,KPI!A:B,2,FALSE),)</f>
        <v>0</v>
      </c>
      <c r="D52" s="2">
        <f>IFERROR(VLOOKUP(B52,Task_Mapping!A:B,2,FALSE),)</f>
        <v>0</v>
      </c>
      <c r="E52" s="2">
        <f>IFERROR(VLOOKUP(D52,Config!A:B,2,FALSE),)</f>
        <v>0</v>
      </c>
      <c r="H52" s="2">
        <f t="shared" si="0"/>
        <v>0</v>
      </c>
    </row>
    <row r="53" spans="3:8" x14ac:dyDescent="0.35">
      <c r="C53" s="2">
        <f>IFERROR(VLOOKUP(B53,KPI!A:B,2,FALSE),)</f>
        <v>0</v>
      </c>
      <c r="D53" s="2">
        <f>IFERROR(VLOOKUP(B53,Task_Mapping!A:B,2,FALSE),)</f>
        <v>0</v>
      </c>
      <c r="E53" s="2">
        <f>IFERROR(VLOOKUP(D53,Config!A:B,2,FALSE),)</f>
        <v>0</v>
      </c>
      <c r="H53" s="2">
        <f t="shared" si="0"/>
        <v>0</v>
      </c>
    </row>
    <row r="54" spans="3:8" x14ac:dyDescent="0.35">
      <c r="C54" s="2">
        <f>IFERROR(VLOOKUP(B54,KPI!A:B,2,FALSE),)</f>
        <v>0</v>
      </c>
      <c r="D54" s="2">
        <f>IFERROR(VLOOKUP(B54,Task_Mapping!A:B,2,FALSE),)</f>
        <v>0</v>
      </c>
      <c r="E54" s="2">
        <f>IFERROR(VLOOKUP(D54,Config!A:B,2,FALSE),)</f>
        <v>0</v>
      </c>
      <c r="H54" s="2">
        <f t="shared" si="0"/>
        <v>0</v>
      </c>
    </row>
    <row r="55" spans="3:8" x14ac:dyDescent="0.35">
      <c r="C55" s="2">
        <f>IFERROR(VLOOKUP(B55,KPI!A:B,2,FALSE),)</f>
        <v>0</v>
      </c>
      <c r="D55" s="2">
        <f>IFERROR(VLOOKUP(B55,Task_Mapping!A:B,2,FALSE),)</f>
        <v>0</v>
      </c>
      <c r="E55" s="2">
        <f>IFERROR(VLOOKUP(D55,Config!A:B,2,FALSE),)</f>
        <v>0</v>
      </c>
      <c r="H55" s="2">
        <f t="shared" si="0"/>
        <v>0</v>
      </c>
    </row>
    <row r="56" spans="3:8" x14ac:dyDescent="0.35">
      <c r="C56" s="2">
        <f>IFERROR(VLOOKUP(B56,KPI!A:B,2,FALSE),)</f>
        <v>0</v>
      </c>
      <c r="D56" s="2">
        <f>IFERROR(VLOOKUP(B56,Task_Mapping!A:B,2,FALSE),)</f>
        <v>0</v>
      </c>
      <c r="E56" s="2">
        <f>IFERROR(VLOOKUP(D56,Config!A:B,2,FALSE),)</f>
        <v>0</v>
      </c>
      <c r="H56" s="2">
        <f t="shared" si="0"/>
        <v>0</v>
      </c>
    </row>
    <row r="57" spans="3:8" x14ac:dyDescent="0.35">
      <c r="C57" s="2">
        <f>IFERROR(VLOOKUP(B57,KPI!A:B,2,FALSE),)</f>
        <v>0</v>
      </c>
      <c r="D57" s="2">
        <f>IFERROR(VLOOKUP(B57,Task_Mapping!A:B,2,FALSE),)</f>
        <v>0</v>
      </c>
      <c r="E57" s="2">
        <f>IFERROR(VLOOKUP(D57,Config!A:B,2,FALSE),)</f>
        <v>0</v>
      </c>
      <c r="H57" s="2">
        <f t="shared" si="0"/>
        <v>0</v>
      </c>
    </row>
    <row r="58" spans="3:8" x14ac:dyDescent="0.35">
      <c r="C58" s="2">
        <f>IFERROR(VLOOKUP(B58,KPI!A:B,2,FALSE),)</f>
        <v>0</v>
      </c>
      <c r="D58" s="2">
        <f>IFERROR(VLOOKUP(B58,Task_Mapping!A:B,2,FALSE),)</f>
        <v>0</v>
      </c>
      <c r="E58" s="2">
        <f>IFERROR(VLOOKUP(D58,Config!A:B,2,FALSE),)</f>
        <v>0</v>
      </c>
      <c r="H58" s="2">
        <f t="shared" si="0"/>
        <v>0</v>
      </c>
    </row>
    <row r="59" spans="3:8" x14ac:dyDescent="0.35">
      <c r="C59" s="2">
        <f>IFERROR(VLOOKUP(B59,KPI!A:B,2,FALSE),)</f>
        <v>0</v>
      </c>
      <c r="D59" s="2">
        <f>IFERROR(VLOOKUP(B59,Task_Mapping!A:B,2,FALSE),)</f>
        <v>0</v>
      </c>
      <c r="E59" s="2">
        <f>IFERROR(VLOOKUP(D59,Config!A:B,2,FALSE),)</f>
        <v>0</v>
      </c>
      <c r="H59" s="2">
        <f t="shared" si="0"/>
        <v>0</v>
      </c>
    </row>
    <row r="60" spans="3:8" x14ac:dyDescent="0.35">
      <c r="C60" s="2">
        <f>IFERROR(VLOOKUP(B60,KPI!A:B,2,FALSE),)</f>
        <v>0</v>
      </c>
      <c r="D60" s="2">
        <f>IFERROR(VLOOKUP(B60,Task_Mapping!A:B,2,FALSE),)</f>
        <v>0</v>
      </c>
      <c r="E60" s="2">
        <f>IFERROR(VLOOKUP(D60,Config!A:B,2,FALSE),)</f>
        <v>0</v>
      </c>
      <c r="H60" s="2">
        <f t="shared" si="0"/>
        <v>0</v>
      </c>
    </row>
    <row r="61" spans="3:8" x14ac:dyDescent="0.35">
      <c r="C61" s="2">
        <f>IFERROR(VLOOKUP(B61,KPI!A:B,2,FALSE),)</f>
        <v>0</v>
      </c>
      <c r="D61" s="2">
        <f>IFERROR(VLOOKUP(B61,Task_Mapping!A:B,2,FALSE),)</f>
        <v>0</v>
      </c>
      <c r="E61" s="2">
        <f>IFERROR(VLOOKUP(D61,Config!A:B,2,FALSE),)</f>
        <v>0</v>
      </c>
      <c r="H61" s="2">
        <f t="shared" si="0"/>
        <v>0</v>
      </c>
    </row>
    <row r="62" spans="3:8" x14ac:dyDescent="0.35">
      <c r="C62" s="2">
        <f>IFERROR(VLOOKUP(B62,KPI!A:B,2,FALSE),)</f>
        <v>0</v>
      </c>
      <c r="D62" s="2">
        <f>IFERROR(VLOOKUP(B62,Task_Mapping!A:B,2,FALSE),)</f>
        <v>0</v>
      </c>
      <c r="E62" s="2">
        <f>IFERROR(VLOOKUP(D62,Config!A:B,2,FALSE),)</f>
        <v>0</v>
      </c>
      <c r="H62" s="2">
        <f t="shared" si="0"/>
        <v>0</v>
      </c>
    </row>
    <row r="63" spans="3:8" x14ac:dyDescent="0.35">
      <c r="C63" s="2">
        <f>IFERROR(VLOOKUP(B63,KPI!A:B,2,FALSE),)</f>
        <v>0</v>
      </c>
      <c r="D63" s="2">
        <f>IFERROR(VLOOKUP(B63,Task_Mapping!A:B,2,FALSE),)</f>
        <v>0</v>
      </c>
      <c r="E63" s="2">
        <f>IFERROR(VLOOKUP(D63,Config!A:B,2,FALSE),)</f>
        <v>0</v>
      </c>
      <c r="H63" s="2">
        <f t="shared" si="0"/>
        <v>0</v>
      </c>
    </row>
    <row r="64" spans="3:8" x14ac:dyDescent="0.35">
      <c r="C64" s="2">
        <f>IFERROR(VLOOKUP(B64,KPI!A:B,2,FALSE),)</f>
        <v>0</v>
      </c>
      <c r="D64" s="2">
        <f>IFERROR(VLOOKUP(B64,Task_Mapping!A:B,2,FALSE),)</f>
        <v>0</v>
      </c>
      <c r="E64" s="2">
        <f>IFERROR(VLOOKUP(D64,Config!A:B,2,FALSE),)</f>
        <v>0</v>
      </c>
      <c r="H64" s="2">
        <f t="shared" si="0"/>
        <v>0</v>
      </c>
    </row>
    <row r="65" spans="3:8" x14ac:dyDescent="0.35">
      <c r="C65" s="2">
        <f>IFERROR(VLOOKUP(B65,KPI!A:B,2,FALSE),)</f>
        <v>0</v>
      </c>
      <c r="D65" s="2">
        <f>IFERROR(VLOOKUP(B65,Task_Mapping!A:B,2,FALSE),)</f>
        <v>0</v>
      </c>
      <c r="E65" s="2">
        <f>IFERROR(VLOOKUP(D65,Config!A:B,2,FALSE),)</f>
        <v>0</v>
      </c>
      <c r="H65" s="2">
        <f t="shared" si="0"/>
        <v>0</v>
      </c>
    </row>
    <row r="66" spans="3:8" x14ac:dyDescent="0.35">
      <c r="C66" s="2">
        <f>IFERROR(VLOOKUP(B66,KPI!A:B,2,FALSE),)</f>
        <v>0</v>
      </c>
      <c r="D66" s="2">
        <f>IFERROR(VLOOKUP(B66,Task_Mapping!A:B,2,FALSE),)</f>
        <v>0</v>
      </c>
      <c r="E66" s="2">
        <f>IFERROR(VLOOKUP(D66,Config!A:B,2,FALSE),)</f>
        <v>0</v>
      </c>
      <c r="H66" s="2">
        <f t="shared" si="0"/>
        <v>0</v>
      </c>
    </row>
    <row r="67" spans="3:8" x14ac:dyDescent="0.35">
      <c r="C67" s="2">
        <f>IFERROR(VLOOKUP(B67,KPI!A:B,2,FALSE),)</f>
        <v>0</v>
      </c>
      <c r="D67" s="2">
        <f>IFERROR(VLOOKUP(B67,Task_Mapping!A:B,2,FALSE),)</f>
        <v>0</v>
      </c>
      <c r="E67" s="2">
        <f>IFERROR(VLOOKUP(D67,Config!A:B,2,FALSE),)</f>
        <v>0</v>
      </c>
      <c r="H67" s="2">
        <f t="shared" si="0"/>
        <v>0</v>
      </c>
    </row>
    <row r="68" spans="3:8" x14ac:dyDescent="0.35">
      <c r="C68" s="2">
        <f>IFERROR(VLOOKUP(B68,KPI!A:B,2,FALSE),)</f>
        <v>0</v>
      </c>
      <c r="D68" s="2">
        <f>IFERROR(VLOOKUP(B68,Task_Mapping!A:B,2,FALSE),)</f>
        <v>0</v>
      </c>
      <c r="E68" s="2">
        <f>IFERROR(VLOOKUP(D68,Config!A:B,2,FALSE),)</f>
        <v>0</v>
      </c>
      <c r="H68" s="2">
        <f t="shared" ref="H68:H131" si="1">((G68 - F68)*24)</f>
        <v>0</v>
      </c>
    </row>
    <row r="69" spans="3:8" x14ac:dyDescent="0.35">
      <c r="C69" s="2">
        <f>IFERROR(VLOOKUP(B69,KPI!A:B,2,FALSE),)</f>
        <v>0</v>
      </c>
      <c r="D69" s="2">
        <f>IFERROR(VLOOKUP(B69,Task_Mapping!A:B,2,FALSE),)</f>
        <v>0</v>
      </c>
      <c r="E69" s="2">
        <f>IFERROR(VLOOKUP(D69,Config!A:B,2,FALSE),)</f>
        <v>0</v>
      </c>
      <c r="H69" s="2">
        <f t="shared" si="1"/>
        <v>0</v>
      </c>
    </row>
    <row r="70" spans="3:8" x14ac:dyDescent="0.35">
      <c r="C70" s="2">
        <f>IFERROR(VLOOKUP(B70,KPI!A:B,2,FALSE),)</f>
        <v>0</v>
      </c>
      <c r="D70" s="2">
        <f>IFERROR(VLOOKUP(B70,Task_Mapping!A:B,2,FALSE),)</f>
        <v>0</v>
      </c>
      <c r="E70" s="2">
        <f>IFERROR(VLOOKUP(D70,Config!A:B,2,FALSE),)</f>
        <v>0</v>
      </c>
      <c r="H70" s="2">
        <f t="shared" si="1"/>
        <v>0</v>
      </c>
    </row>
    <row r="71" spans="3:8" x14ac:dyDescent="0.35">
      <c r="C71" s="2">
        <f>IFERROR(VLOOKUP(B71,KPI!A:B,2,FALSE),)</f>
        <v>0</v>
      </c>
      <c r="D71" s="2">
        <f>IFERROR(VLOOKUP(B71,Task_Mapping!A:B,2,FALSE),)</f>
        <v>0</v>
      </c>
      <c r="E71" s="2">
        <f>IFERROR(VLOOKUP(D71,Config!A:B,2,FALSE),)</f>
        <v>0</v>
      </c>
      <c r="H71" s="2">
        <f t="shared" si="1"/>
        <v>0</v>
      </c>
    </row>
    <row r="72" spans="3:8" x14ac:dyDescent="0.35">
      <c r="C72" s="2">
        <f>IFERROR(VLOOKUP(B72,KPI!A:B,2,FALSE),)</f>
        <v>0</v>
      </c>
      <c r="D72" s="2">
        <f>IFERROR(VLOOKUP(B72,Task_Mapping!A:B,2,FALSE),)</f>
        <v>0</v>
      </c>
      <c r="E72" s="2">
        <f>IFERROR(VLOOKUP(D72,Config!A:B,2,FALSE),)</f>
        <v>0</v>
      </c>
      <c r="H72" s="2">
        <f t="shared" si="1"/>
        <v>0</v>
      </c>
    </row>
    <row r="73" spans="3:8" x14ac:dyDescent="0.35">
      <c r="C73" s="2">
        <f>IFERROR(VLOOKUP(B73,KPI!A:B,2,FALSE),)</f>
        <v>0</v>
      </c>
      <c r="D73" s="2">
        <f>IFERROR(VLOOKUP(B73,Task_Mapping!A:B,2,FALSE),)</f>
        <v>0</v>
      </c>
      <c r="E73" s="2">
        <f>IFERROR(VLOOKUP(D73,Config!A:B,2,FALSE),)</f>
        <v>0</v>
      </c>
      <c r="H73" s="2">
        <f t="shared" si="1"/>
        <v>0</v>
      </c>
    </row>
    <row r="74" spans="3:8" x14ac:dyDescent="0.35">
      <c r="C74" s="2">
        <f>IFERROR(VLOOKUP(B74,KPI!A:B,2,FALSE),)</f>
        <v>0</v>
      </c>
      <c r="D74" s="2">
        <f>IFERROR(VLOOKUP(B74,Task_Mapping!A:B,2,FALSE),)</f>
        <v>0</v>
      </c>
      <c r="E74" s="2">
        <f>IFERROR(VLOOKUP(D74,Config!A:B,2,FALSE),)</f>
        <v>0</v>
      </c>
      <c r="H74" s="2">
        <f t="shared" si="1"/>
        <v>0</v>
      </c>
    </row>
    <row r="75" spans="3:8" x14ac:dyDescent="0.35">
      <c r="C75" s="2">
        <f>IFERROR(VLOOKUP(B75,KPI!A:B,2,FALSE),)</f>
        <v>0</v>
      </c>
      <c r="D75" s="2">
        <f>IFERROR(VLOOKUP(B75,Task_Mapping!A:B,2,FALSE),)</f>
        <v>0</v>
      </c>
      <c r="E75" s="2">
        <f>IFERROR(VLOOKUP(D75,Config!A:B,2,FALSE),)</f>
        <v>0</v>
      </c>
      <c r="H75" s="2">
        <f t="shared" si="1"/>
        <v>0</v>
      </c>
    </row>
    <row r="76" spans="3:8" x14ac:dyDescent="0.35">
      <c r="C76" s="2">
        <f>IFERROR(VLOOKUP(B76,KPI!A:B,2,FALSE),)</f>
        <v>0</v>
      </c>
      <c r="D76" s="2">
        <f>IFERROR(VLOOKUP(B76,Task_Mapping!A:B,2,FALSE),)</f>
        <v>0</v>
      </c>
      <c r="E76" s="2">
        <f>IFERROR(VLOOKUP(D76,Config!A:B,2,FALSE),)</f>
        <v>0</v>
      </c>
      <c r="H76" s="2">
        <f t="shared" si="1"/>
        <v>0</v>
      </c>
    </row>
    <row r="77" spans="3:8" x14ac:dyDescent="0.35">
      <c r="C77" s="2">
        <f>IFERROR(VLOOKUP(B77,KPI!A:B,2,FALSE),)</f>
        <v>0</v>
      </c>
      <c r="D77" s="2">
        <f>IFERROR(VLOOKUP(B77,Task_Mapping!A:B,2,FALSE),)</f>
        <v>0</v>
      </c>
      <c r="E77" s="2">
        <f>IFERROR(VLOOKUP(D77,Config!A:B,2,FALSE),)</f>
        <v>0</v>
      </c>
      <c r="H77" s="2">
        <f t="shared" si="1"/>
        <v>0</v>
      </c>
    </row>
    <row r="78" spans="3:8" x14ac:dyDescent="0.35">
      <c r="C78" s="2">
        <f>IFERROR(VLOOKUP(B78,KPI!A:B,2,FALSE),)</f>
        <v>0</v>
      </c>
      <c r="D78" s="2">
        <f>IFERROR(VLOOKUP(B78,Task_Mapping!A:B,2,FALSE),)</f>
        <v>0</v>
      </c>
      <c r="E78" s="2">
        <f>IFERROR(VLOOKUP(D78,Config!A:B,2,FALSE),)</f>
        <v>0</v>
      </c>
      <c r="H78" s="2">
        <f t="shared" si="1"/>
        <v>0</v>
      </c>
    </row>
    <row r="79" spans="3:8" x14ac:dyDescent="0.35">
      <c r="C79" s="2">
        <f>IFERROR(VLOOKUP(B79,KPI!A:B,2,FALSE),)</f>
        <v>0</v>
      </c>
      <c r="D79" s="2">
        <f>IFERROR(VLOOKUP(B79,Task_Mapping!A:B,2,FALSE),)</f>
        <v>0</v>
      </c>
      <c r="E79" s="2">
        <f>IFERROR(VLOOKUP(D79,Config!A:B,2,FALSE),)</f>
        <v>0</v>
      </c>
      <c r="H79" s="2">
        <f t="shared" si="1"/>
        <v>0</v>
      </c>
    </row>
    <row r="80" spans="3:8" x14ac:dyDescent="0.35">
      <c r="C80" s="2">
        <f>IFERROR(VLOOKUP(B80,KPI!A:B,2,FALSE),)</f>
        <v>0</v>
      </c>
      <c r="D80" s="2">
        <f>IFERROR(VLOOKUP(B80,Task_Mapping!A:B,2,FALSE),)</f>
        <v>0</v>
      </c>
      <c r="E80" s="2">
        <f>IFERROR(VLOOKUP(D80,Config!A:B,2,FALSE),)</f>
        <v>0</v>
      </c>
      <c r="H80" s="2">
        <f t="shared" si="1"/>
        <v>0</v>
      </c>
    </row>
    <row r="81" spans="3:8" x14ac:dyDescent="0.35">
      <c r="C81" s="2">
        <f>IFERROR(VLOOKUP(B81,KPI!A:B,2,FALSE),)</f>
        <v>0</v>
      </c>
      <c r="D81" s="2">
        <f>IFERROR(VLOOKUP(B81,Task_Mapping!A:B,2,FALSE),)</f>
        <v>0</v>
      </c>
      <c r="E81" s="2">
        <f>IFERROR(VLOOKUP(D81,Config!A:B,2,FALSE),)</f>
        <v>0</v>
      </c>
      <c r="H81" s="2">
        <f t="shared" si="1"/>
        <v>0</v>
      </c>
    </row>
    <row r="82" spans="3:8" x14ac:dyDescent="0.35">
      <c r="C82" s="2">
        <f>IFERROR(VLOOKUP(B82,KPI!A:B,2,FALSE),)</f>
        <v>0</v>
      </c>
      <c r="D82" s="2">
        <f>IFERROR(VLOOKUP(B82,Task_Mapping!A:B,2,FALSE),)</f>
        <v>0</v>
      </c>
      <c r="E82" s="2">
        <f>IFERROR(VLOOKUP(D82,Config!A:B,2,FALSE),)</f>
        <v>0</v>
      </c>
      <c r="H82" s="2">
        <f t="shared" si="1"/>
        <v>0</v>
      </c>
    </row>
    <row r="83" spans="3:8" x14ac:dyDescent="0.35">
      <c r="C83" s="2">
        <f>IFERROR(VLOOKUP(B83,KPI!A:B,2,FALSE),)</f>
        <v>0</v>
      </c>
      <c r="D83" s="2">
        <f>IFERROR(VLOOKUP(B83,Task_Mapping!A:B,2,FALSE),)</f>
        <v>0</v>
      </c>
      <c r="E83" s="2">
        <f>IFERROR(VLOOKUP(D83,Config!A:B,2,FALSE),)</f>
        <v>0</v>
      </c>
      <c r="H83" s="2">
        <f t="shared" si="1"/>
        <v>0</v>
      </c>
    </row>
    <row r="84" spans="3:8" x14ac:dyDescent="0.35">
      <c r="C84" s="2">
        <f>IFERROR(VLOOKUP(B84,KPI!A:B,2,FALSE),)</f>
        <v>0</v>
      </c>
      <c r="D84" s="2">
        <f>IFERROR(VLOOKUP(B84,Task_Mapping!A:B,2,FALSE),)</f>
        <v>0</v>
      </c>
      <c r="E84" s="2">
        <f>IFERROR(VLOOKUP(D84,Config!A:B,2,FALSE),)</f>
        <v>0</v>
      </c>
      <c r="H84" s="2">
        <f t="shared" si="1"/>
        <v>0</v>
      </c>
    </row>
    <row r="85" spans="3:8" x14ac:dyDescent="0.35">
      <c r="C85" s="2">
        <f>IFERROR(VLOOKUP(B85,KPI!A:B,2,FALSE),)</f>
        <v>0</v>
      </c>
      <c r="D85" s="2">
        <f>IFERROR(VLOOKUP(B85,Task_Mapping!A:B,2,FALSE),)</f>
        <v>0</v>
      </c>
      <c r="E85" s="2">
        <f>IFERROR(VLOOKUP(D85,Config!A:B,2,FALSE),)</f>
        <v>0</v>
      </c>
      <c r="H85" s="2">
        <f t="shared" si="1"/>
        <v>0</v>
      </c>
    </row>
    <row r="86" spans="3:8" x14ac:dyDescent="0.35">
      <c r="C86" s="2">
        <f>IFERROR(VLOOKUP(B86,KPI!A:B,2,FALSE),)</f>
        <v>0</v>
      </c>
      <c r="D86" s="2">
        <f>IFERROR(VLOOKUP(B86,Task_Mapping!A:B,2,FALSE),)</f>
        <v>0</v>
      </c>
      <c r="E86" s="2">
        <f>IFERROR(VLOOKUP(D86,Config!A:B,2,FALSE),)</f>
        <v>0</v>
      </c>
      <c r="H86" s="2">
        <f t="shared" si="1"/>
        <v>0</v>
      </c>
    </row>
    <row r="87" spans="3:8" x14ac:dyDescent="0.35">
      <c r="C87" s="2">
        <f>IFERROR(VLOOKUP(B87,KPI!A:B,2,FALSE),)</f>
        <v>0</v>
      </c>
      <c r="D87" s="2">
        <f>IFERROR(VLOOKUP(B87,Task_Mapping!A:B,2,FALSE),)</f>
        <v>0</v>
      </c>
      <c r="E87" s="2">
        <f>IFERROR(VLOOKUP(D87,Config!A:B,2,FALSE),)</f>
        <v>0</v>
      </c>
      <c r="H87" s="2">
        <f t="shared" si="1"/>
        <v>0</v>
      </c>
    </row>
    <row r="88" spans="3:8" x14ac:dyDescent="0.35">
      <c r="C88" s="2">
        <f>IFERROR(VLOOKUP(B88,KPI!A:B,2,FALSE),)</f>
        <v>0</v>
      </c>
      <c r="D88" s="2">
        <f>IFERROR(VLOOKUP(B88,Task_Mapping!A:B,2,FALSE),)</f>
        <v>0</v>
      </c>
      <c r="E88" s="2">
        <f>IFERROR(VLOOKUP(D88,Config!A:B,2,FALSE),)</f>
        <v>0</v>
      </c>
      <c r="H88" s="2">
        <f t="shared" si="1"/>
        <v>0</v>
      </c>
    </row>
    <row r="89" spans="3:8" x14ac:dyDescent="0.35">
      <c r="C89" s="2">
        <f>IFERROR(VLOOKUP(B89,KPI!A:B,2,FALSE),)</f>
        <v>0</v>
      </c>
      <c r="D89" s="2">
        <f>IFERROR(VLOOKUP(B89,Task_Mapping!A:B,2,FALSE),)</f>
        <v>0</v>
      </c>
      <c r="E89" s="2">
        <f>IFERROR(VLOOKUP(D89,Config!A:B,2,FALSE),)</f>
        <v>0</v>
      </c>
      <c r="H89" s="2">
        <f t="shared" si="1"/>
        <v>0</v>
      </c>
    </row>
    <row r="90" spans="3:8" x14ac:dyDescent="0.35">
      <c r="C90" s="2">
        <f>IFERROR(VLOOKUP(B90,KPI!A:B,2,FALSE),)</f>
        <v>0</v>
      </c>
      <c r="D90" s="2">
        <f>IFERROR(VLOOKUP(B90,Task_Mapping!A:B,2,FALSE),)</f>
        <v>0</v>
      </c>
      <c r="E90" s="2">
        <f>IFERROR(VLOOKUP(D90,Config!A:B,2,FALSE),)</f>
        <v>0</v>
      </c>
      <c r="H90" s="2">
        <f t="shared" si="1"/>
        <v>0</v>
      </c>
    </row>
    <row r="91" spans="3:8" x14ac:dyDescent="0.35">
      <c r="C91" s="2">
        <f>IFERROR(VLOOKUP(B91,KPI!A:B,2,FALSE),)</f>
        <v>0</v>
      </c>
      <c r="D91" s="2">
        <f>IFERROR(VLOOKUP(B91,Task_Mapping!A:B,2,FALSE),)</f>
        <v>0</v>
      </c>
      <c r="E91" s="2">
        <f>IFERROR(VLOOKUP(D91,Config!A:B,2,FALSE),)</f>
        <v>0</v>
      </c>
      <c r="H91" s="2">
        <f t="shared" si="1"/>
        <v>0</v>
      </c>
    </row>
    <row r="92" spans="3:8" x14ac:dyDescent="0.35">
      <c r="C92" s="2">
        <f>IFERROR(VLOOKUP(B92,KPI!A:B,2,FALSE),)</f>
        <v>0</v>
      </c>
      <c r="D92" s="2">
        <f>IFERROR(VLOOKUP(B92,Task_Mapping!A:B,2,FALSE),)</f>
        <v>0</v>
      </c>
      <c r="E92" s="2">
        <f>IFERROR(VLOOKUP(D92,Config!A:B,2,FALSE),)</f>
        <v>0</v>
      </c>
      <c r="H92" s="2">
        <f t="shared" si="1"/>
        <v>0</v>
      </c>
    </row>
    <row r="93" spans="3:8" x14ac:dyDescent="0.35">
      <c r="C93" s="2">
        <f>IFERROR(VLOOKUP(B93,KPI!A:B,2,FALSE),)</f>
        <v>0</v>
      </c>
      <c r="D93" s="2">
        <f>IFERROR(VLOOKUP(B93,Task_Mapping!A:B,2,FALSE),)</f>
        <v>0</v>
      </c>
      <c r="E93" s="2">
        <f>IFERROR(VLOOKUP(D93,Config!A:B,2,FALSE),)</f>
        <v>0</v>
      </c>
      <c r="H93" s="2">
        <f t="shared" si="1"/>
        <v>0</v>
      </c>
    </row>
    <row r="94" spans="3:8" x14ac:dyDescent="0.35">
      <c r="C94" s="2">
        <f>IFERROR(VLOOKUP(B94,KPI!A:B,2,FALSE),)</f>
        <v>0</v>
      </c>
      <c r="D94" s="2">
        <f>IFERROR(VLOOKUP(B94,Task_Mapping!A:B,2,FALSE),)</f>
        <v>0</v>
      </c>
      <c r="E94" s="2">
        <f>IFERROR(VLOOKUP(D94,Config!A:B,2,FALSE),)</f>
        <v>0</v>
      </c>
      <c r="H94" s="2">
        <f t="shared" si="1"/>
        <v>0</v>
      </c>
    </row>
    <row r="95" spans="3:8" x14ac:dyDescent="0.35">
      <c r="C95" s="2">
        <f>IFERROR(VLOOKUP(B95,KPI!A:B,2,FALSE),)</f>
        <v>0</v>
      </c>
      <c r="D95" s="2">
        <f>IFERROR(VLOOKUP(B95,Task_Mapping!A:B,2,FALSE),)</f>
        <v>0</v>
      </c>
      <c r="E95" s="2">
        <f>IFERROR(VLOOKUP(D95,Config!A:B,2,FALSE),)</f>
        <v>0</v>
      </c>
      <c r="H95" s="2">
        <f t="shared" si="1"/>
        <v>0</v>
      </c>
    </row>
    <row r="96" spans="3:8" x14ac:dyDescent="0.35">
      <c r="C96" s="2">
        <f>IFERROR(VLOOKUP(B96,KPI!A:B,2,FALSE),)</f>
        <v>0</v>
      </c>
      <c r="D96" s="2">
        <f>IFERROR(VLOOKUP(B96,Task_Mapping!A:B,2,FALSE),)</f>
        <v>0</v>
      </c>
      <c r="E96" s="2">
        <f>IFERROR(VLOOKUP(D96,Config!A:B,2,FALSE),)</f>
        <v>0</v>
      </c>
      <c r="H96" s="2">
        <f t="shared" si="1"/>
        <v>0</v>
      </c>
    </row>
    <row r="97" spans="3:8" x14ac:dyDescent="0.35">
      <c r="C97" s="2">
        <f>IFERROR(VLOOKUP(B97,KPI!A:B,2,FALSE),)</f>
        <v>0</v>
      </c>
      <c r="D97" s="2">
        <f>IFERROR(VLOOKUP(B97,Task_Mapping!A:B,2,FALSE),)</f>
        <v>0</v>
      </c>
      <c r="E97" s="2">
        <f>IFERROR(VLOOKUP(D97,Config!A:B,2,FALSE),)</f>
        <v>0</v>
      </c>
      <c r="H97" s="2">
        <f t="shared" si="1"/>
        <v>0</v>
      </c>
    </row>
    <row r="98" spans="3:8" x14ac:dyDescent="0.35">
      <c r="C98" s="2">
        <f>IFERROR(VLOOKUP(B98,KPI!A:B,2,FALSE),)</f>
        <v>0</v>
      </c>
      <c r="D98" s="2">
        <f>IFERROR(VLOOKUP(B98,Task_Mapping!A:B,2,FALSE),)</f>
        <v>0</v>
      </c>
      <c r="E98" s="2">
        <f>IFERROR(VLOOKUP(D98,Config!A:B,2,FALSE),)</f>
        <v>0</v>
      </c>
      <c r="H98" s="2">
        <f t="shared" si="1"/>
        <v>0</v>
      </c>
    </row>
    <row r="99" spans="3:8" x14ac:dyDescent="0.35">
      <c r="C99" s="2">
        <f>IFERROR(VLOOKUP(B99,KPI!A:B,2,FALSE),)</f>
        <v>0</v>
      </c>
      <c r="D99" s="2">
        <f>IFERROR(VLOOKUP(B99,Task_Mapping!A:B,2,FALSE),)</f>
        <v>0</v>
      </c>
      <c r="E99" s="2">
        <f>IFERROR(VLOOKUP(D99,Config!A:B,2,FALSE),)</f>
        <v>0</v>
      </c>
      <c r="H99" s="2">
        <f t="shared" si="1"/>
        <v>0</v>
      </c>
    </row>
    <row r="100" spans="3:8" x14ac:dyDescent="0.35">
      <c r="C100" s="2">
        <f>IFERROR(VLOOKUP(B100,KPI!A:B,2,FALSE),)</f>
        <v>0</v>
      </c>
      <c r="D100" s="2">
        <f>IFERROR(VLOOKUP(B100,Task_Mapping!A:B,2,FALSE),)</f>
        <v>0</v>
      </c>
      <c r="E100" s="2">
        <f>IFERROR(VLOOKUP(D100,Config!A:B,2,FALSE),)</f>
        <v>0</v>
      </c>
      <c r="H100" s="2">
        <f t="shared" si="1"/>
        <v>0</v>
      </c>
    </row>
    <row r="101" spans="3:8" x14ac:dyDescent="0.35">
      <c r="C101" s="2">
        <f>IFERROR(VLOOKUP(B101,KPI!A:B,2,FALSE),)</f>
        <v>0</v>
      </c>
      <c r="D101" s="2">
        <f>IFERROR(VLOOKUP(B101,Task_Mapping!A:B,2,FALSE),)</f>
        <v>0</v>
      </c>
      <c r="E101" s="2">
        <f>IFERROR(VLOOKUP(D101,Config!A:B,2,FALSE),)</f>
        <v>0</v>
      </c>
      <c r="H101" s="2">
        <f t="shared" si="1"/>
        <v>0</v>
      </c>
    </row>
    <row r="102" spans="3:8" x14ac:dyDescent="0.35">
      <c r="C102" s="2">
        <f>IFERROR(VLOOKUP(B102,KPI!A:B,2,FALSE),)</f>
        <v>0</v>
      </c>
      <c r="D102" s="2">
        <f>IFERROR(VLOOKUP(B102,Task_Mapping!A:B,2,FALSE),)</f>
        <v>0</v>
      </c>
      <c r="E102" s="2">
        <f>IFERROR(VLOOKUP(D102,Config!A:B,2,FALSE),)</f>
        <v>0</v>
      </c>
      <c r="H102" s="2">
        <f t="shared" si="1"/>
        <v>0</v>
      </c>
    </row>
    <row r="103" spans="3:8" x14ac:dyDescent="0.35">
      <c r="C103" s="2">
        <f>IFERROR(VLOOKUP(B103,KPI!A:B,2,FALSE),)</f>
        <v>0</v>
      </c>
      <c r="D103" s="2">
        <f>IFERROR(VLOOKUP(B103,Task_Mapping!A:B,2,FALSE),)</f>
        <v>0</v>
      </c>
      <c r="E103" s="2">
        <f>IFERROR(VLOOKUP(D103,Config!A:B,2,FALSE),)</f>
        <v>0</v>
      </c>
      <c r="H103" s="2">
        <f t="shared" si="1"/>
        <v>0</v>
      </c>
    </row>
    <row r="104" spans="3:8" x14ac:dyDescent="0.35">
      <c r="C104" s="2">
        <f>IFERROR(VLOOKUP(B104,KPI!A:B,2,FALSE),)</f>
        <v>0</v>
      </c>
      <c r="D104" s="2">
        <f>IFERROR(VLOOKUP(B104,Task_Mapping!A:B,2,FALSE),)</f>
        <v>0</v>
      </c>
      <c r="E104" s="2">
        <f>IFERROR(VLOOKUP(D104,Config!A:B,2,FALSE),)</f>
        <v>0</v>
      </c>
      <c r="H104" s="2">
        <f t="shared" si="1"/>
        <v>0</v>
      </c>
    </row>
    <row r="105" spans="3:8" x14ac:dyDescent="0.35">
      <c r="C105" s="2">
        <f>IFERROR(VLOOKUP(B105,KPI!A:B,2,FALSE),)</f>
        <v>0</v>
      </c>
      <c r="D105" s="2">
        <f>IFERROR(VLOOKUP(B105,Task_Mapping!A:B,2,FALSE),)</f>
        <v>0</v>
      </c>
      <c r="E105" s="2">
        <f>IFERROR(VLOOKUP(D105,Config!A:B,2,FALSE),)</f>
        <v>0</v>
      </c>
      <c r="H105" s="2">
        <f t="shared" si="1"/>
        <v>0</v>
      </c>
    </row>
    <row r="106" spans="3:8" x14ac:dyDescent="0.35">
      <c r="C106" s="2">
        <f>IFERROR(VLOOKUP(B106,KPI!A:B,2,FALSE),)</f>
        <v>0</v>
      </c>
      <c r="D106" s="2">
        <f>IFERROR(VLOOKUP(B106,Task_Mapping!A:B,2,FALSE),)</f>
        <v>0</v>
      </c>
      <c r="E106" s="2">
        <f>IFERROR(VLOOKUP(D106,Config!A:B,2,FALSE),)</f>
        <v>0</v>
      </c>
      <c r="H106" s="2">
        <f t="shared" si="1"/>
        <v>0</v>
      </c>
    </row>
    <row r="107" spans="3:8" x14ac:dyDescent="0.35">
      <c r="C107" s="2">
        <f>IFERROR(VLOOKUP(B107,KPI!A:B,2,FALSE),)</f>
        <v>0</v>
      </c>
      <c r="D107" s="2">
        <f>IFERROR(VLOOKUP(B107,Task_Mapping!A:B,2,FALSE),)</f>
        <v>0</v>
      </c>
      <c r="E107" s="2">
        <f>IFERROR(VLOOKUP(D107,Config!A:B,2,FALSE),)</f>
        <v>0</v>
      </c>
      <c r="H107" s="2">
        <f t="shared" si="1"/>
        <v>0</v>
      </c>
    </row>
    <row r="108" spans="3:8" x14ac:dyDescent="0.35">
      <c r="C108" s="2">
        <f>IFERROR(VLOOKUP(B108,KPI!A:B,2,FALSE),)</f>
        <v>0</v>
      </c>
      <c r="D108" s="2">
        <f>IFERROR(VLOOKUP(B108,Task_Mapping!A:B,2,FALSE),)</f>
        <v>0</v>
      </c>
      <c r="E108" s="2">
        <f>IFERROR(VLOOKUP(D108,Config!A:B,2,FALSE),)</f>
        <v>0</v>
      </c>
      <c r="H108" s="2">
        <f t="shared" si="1"/>
        <v>0</v>
      </c>
    </row>
    <row r="109" spans="3:8" x14ac:dyDescent="0.35">
      <c r="C109" s="2">
        <f>IFERROR(VLOOKUP(B109,KPI!A:B,2,FALSE),)</f>
        <v>0</v>
      </c>
      <c r="D109" s="2">
        <f>IFERROR(VLOOKUP(B109,Task_Mapping!A:B,2,FALSE),)</f>
        <v>0</v>
      </c>
      <c r="E109" s="2">
        <f>IFERROR(VLOOKUP(D109,Config!A:B,2,FALSE),)</f>
        <v>0</v>
      </c>
      <c r="H109" s="2">
        <f t="shared" si="1"/>
        <v>0</v>
      </c>
    </row>
    <row r="110" spans="3:8" x14ac:dyDescent="0.35">
      <c r="C110" s="2">
        <f>IFERROR(VLOOKUP(B110,KPI!A:B,2,FALSE),)</f>
        <v>0</v>
      </c>
      <c r="D110" s="2">
        <f>IFERROR(VLOOKUP(B110,Task_Mapping!A:B,2,FALSE),)</f>
        <v>0</v>
      </c>
      <c r="E110" s="2">
        <f>IFERROR(VLOOKUP(D110,Config!A:B,2,FALSE),)</f>
        <v>0</v>
      </c>
      <c r="H110" s="2">
        <f t="shared" si="1"/>
        <v>0</v>
      </c>
    </row>
    <row r="111" spans="3:8" x14ac:dyDescent="0.35">
      <c r="C111" s="2">
        <f>IFERROR(VLOOKUP(B111,KPI!A:B,2,FALSE),)</f>
        <v>0</v>
      </c>
      <c r="D111" s="2">
        <f>IFERROR(VLOOKUP(B111,Task_Mapping!A:B,2,FALSE),)</f>
        <v>0</v>
      </c>
      <c r="E111" s="2">
        <f>IFERROR(VLOOKUP(D111,Config!A:B,2,FALSE),)</f>
        <v>0</v>
      </c>
      <c r="H111" s="2">
        <f t="shared" si="1"/>
        <v>0</v>
      </c>
    </row>
    <row r="112" spans="3:8" x14ac:dyDescent="0.35">
      <c r="C112" s="2">
        <f>IFERROR(VLOOKUP(B112,KPI!A:B,2,FALSE),)</f>
        <v>0</v>
      </c>
      <c r="D112" s="2">
        <f>IFERROR(VLOOKUP(B112,Task_Mapping!A:B,2,FALSE),)</f>
        <v>0</v>
      </c>
      <c r="E112" s="2">
        <f>IFERROR(VLOOKUP(D112,Config!A:B,2,FALSE),)</f>
        <v>0</v>
      </c>
      <c r="H112" s="2">
        <f t="shared" si="1"/>
        <v>0</v>
      </c>
    </row>
    <row r="113" spans="3:8" x14ac:dyDescent="0.35">
      <c r="C113" s="2">
        <f>IFERROR(VLOOKUP(B113,KPI!A:B,2,FALSE),)</f>
        <v>0</v>
      </c>
      <c r="D113" s="2">
        <f>IFERROR(VLOOKUP(B113,Task_Mapping!A:B,2,FALSE),)</f>
        <v>0</v>
      </c>
      <c r="E113" s="2">
        <f>IFERROR(VLOOKUP(D113,Config!A:B,2,FALSE),)</f>
        <v>0</v>
      </c>
      <c r="H113" s="2">
        <f t="shared" si="1"/>
        <v>0</v>
      </c>
    </row>
    <row r="114" spans="3:8" x14ac:dyDescent="0.35">
      <c r="C114" s="2">
        <f>IFERROR(VLOOKUP(B114,KPI!A:B,2,FALSE),)</f>
        <v>0</v>
      </c>
      <c r="D114" s="2">
        <f>IFERROR(VLOOKUP(B114,Task_Mapping!A:B,2,FALSE),)</f>
        <v>0</v>
      </c>
      <c r="E114" s="2">
        <f>IFERROR(VLOOKUP(D114,Config!A:B,2,FALSE),)</f>
        <v>0</v>
      </c>
      <c r="H114" s="2">
        <f t="shared" si="1"/>
        <v>0</v>
      </c>
    </row>
    <row r="115" spans="3:8" x14ac:dyDescent="0.35">
      <c r="C115" s="2">
        <f>IFERROR(VLOOKUP(B115,KPI!A:B,2,FALSE),)</f>
        <v>0</v>
      </c>
      <c r="D115" s="2">
        <f>IFERROR(VLOOKUP(B115,Task_Mapping!A:B,2,FALSE),)</f>
        <v>0</v>
      </c>
      <c r="E115" s="2">
        <f>IFERROR(VLOOKUP(D115,Config!A:B,2,FALSE),)</f>
        <v>0</v>
      </c>
      <c r="H115" s="2">
        <f t="shared" si="1"/>
        <v>0</v>
      </c>
    </row>
    <row r="116" spans="3:8" x14ac:dyDescent="0.35">
      <c r="C116" s="2">
        <f>IFERROR(VLOOKUP(B116,KPI!A:B,2,FALSE),)</f>
        <v>0</v>
      </c>
      <c r="D116" s="2">
        <f>IFERROR(VLOOKUP(B116,Task_Mapping!A:B,2,FALSE),)</f>
        <v>0</v>
      </c>
      <c r="E116" s="2">
        <f>IFERROR(VLOOKUP(D116,Config!A:B,2,FALSE),)</f>
        <v>0</v>
      </c>
      <c r="H116" s="2">
        <f t="shared" si="1"/>
        <v>0</v>
      </c>
    </row>
    <row r="117" spans="3:8" x14ac:dyDescent="0.35">
      <c r="C117" s="2">
        <f>IFERROR(VLOOKUP(B117,KPI!A:B,2,FALSE),)</f>
        <v>0</v>
      </c>
      <c r="D117" s="2">
        <f>IFERROR(VLOOKUP(B117,Task_Mapping!A:B,2,FALSE),)</f>
        <v>0</v>
      </c>
      <c r="E117" s="2">
        <f>IFERROR(VLOOKUP(D117,Config!A:B,2,FALSE),)</f>
        <v>0</v>
      </c>
      <c r="H117" s="2">
        <f t="shared" si="1"/>
        <v>0</v>
      </c>
    </row>
    <row r="118" spans="3:8" x14ac:dyDescent="0.35">
      <c r="C118" s="2">
        <f>IFERROR(VLOOKUP(B118,KPI!A:B,2,FALSE),)</f>
        <v>0</v>
      </c>
      <c r="D118" s="2">
        <f>IFERROR(VLOOKUP(B118,Task_Mapping!A:B,2,FALSE),)</f>
        <v>0</v>
      </c>
      <c r="E118" s="2">
        <f>IFERROR(VLOOKUP(D118,Config!A:B,2,FALSE),)</f>
        <v>0</v>
      </c>
      <c r="H118" s="2">
        <f t="shared" si="1"/>
        <v>0</v>
      </c>
    </row>
    <row r="119" spans="3:8" x14ac:dyDescent="0.35">
      <c r="C119" s="2">
        <f>IFERROR(VLOOKUP(B119,KPI!A:B,2,FALSE),)</f>
        <v>0</v>
      </c>
      <c r="D119" s="2">
        <f>IFERROR(VLOOKUP(B119,Task_Mapping!A:B,2,FALSE),)</f>
        <v>0</v>
      </c>
      <c r="E119" s="2">
        <f>IFERROR(VLOOKUP(D119,Config!A:B,2,FALSE),)</f>
        <v>0</v>
      </c>
      <c r="H119" s="2">
        <f t="shared" si="1"/>
        <v>0</v>
      </c>
    </row>
    <row r="120" spans="3:8" x14ac:dyDescent="0.35">
      <c r="C120" s="2">
        <f>IFERROR(VLOOKUP(B120,KPI!A:B,2,FALSE),)</f>
        <v>0</v>
      </c>
      <c r="D120" s="2">
        <f>IFERROR(VLOOKUP(B120,Task_Mapping!A:B,2,FALSE),)</f>
        <v>0</v>
      </c>
      <c r="E120" s="2">
        <f>IFERROR(VLOOKUP(D120,Config!A:B,2,FALSE),)</f>
        <v>0</v>
      </c>
      <c r="H120" s="2">
        <f t="shared" si="1"/>
        <v>0</v>
      </c>
    </row>
    <row r="121" spans="3:8" x14ac:dyDescent="0.35">
      <c r="C121" s="2">
        <f>IFERROR(VLOOKUP(B121,KPI!A:B,2,FALSE),)</f>
        <v>0</v>
      </c>
      <c r="D121" s="2">
        <f>IFERROR(VLOOKUP(B121,Task_Mapping!A:B,2,FALSE),)</f>
        <v>0</v>
      </c>
      <c r="E121" s="2">
        <f>IFERROR(VLOOKUP(D121,Config!A:B,2,FALSE),)</f>
        <v>0</v>
      </c>
      <c r="H121" s="2">
        <f t="shared" si="1"/>
        <v>0</v>
      </c>
    </row>
    <row r="122" spans="3:8" x14ac:dyDescent="0.35">
      <c r="C122" s="2">
        <f>IFERROR(VLOOKUP(B122,KPI!A:B,2,FALSE),)</f>
        <v>0</v>
      </c>
      <c r="D122" s="2">
        <f>IFERROR(VLOOKUP(B122,Task_Mapping!A:B,2,FALSE),)</f>
        <v>0</v>
      </c>
      <c r="E122" s="2">
        <f>IFERROR(VLOOKUP(D122,Config!A:B,2,FALSE),)</f>
        <v>0</v>
      </c>
      <c r="H122" s="2">
        <f t="shared" si="1"/>
        <v>0</v>
      </c>
    </row>
    <row r="123" spans="3:8" x14ac:dyDescent="0.35">
      <c r="C123" s="2">
        <f>IFERROR(VLOOKUP(B123,KPI!A:B,2,FALSE),)</f>
        <v>0</v>
      </c>
      <c r="D123" s="2">
        <f>IFERROR(VLOOKUP(B123,Task_Mapping!A:B,2,FALSE),)</f>
        <v>0</v>
      </c>
      <c r="E123" s="2">
        <f>IFERROR(VLOOKUP(D123,Config!A:B,2,FALSE),)</f>
        <v>0</v>
      </c>
      <c r="H123" s="2">
        <f t="shared" si="1"/>
        <v>0</v>
      </c>
    </row>
    <row r="124" spans="3:8" x14ac:dyDescent="0.35">
      <c r="C124" s="2">
        <f>IFERROR(VLOOKUP(B124,KPI!A:B,2,FALSE),)</f>
        <v>0</v>
      </c>
      <c r="D124" s="2">
        <f>IFERROR(VLOOKUP(B124,Task_Mapping!A:B,2,FALSE),)</f>
        <v>0</v>
      </c>
      <c r="E124" s="2">
        <f>IFERROR(VLOOKUP(D124,Config!A:B,2,FALSE),)</f>
        <v>0</v>
      </c>
      <c r="H124" s="2">
        <f t="shared" si="1"/>
        <v>0</v>
      </c>
    </row>
    <row r="125" spans="3:8" x14ac:dyDescent="0.35">
      <c r="C125" s="2">
        <f>IFERROR(VLOOKUP(B125,KPI!A:B,2,FALSE),)</f>
        <v>0</v>
      </c>
      <c r="D125" s="2">
        <f>IFERROR(VLOOKUP(B125,Task_Mapping!A:B,2,FALSE),)</f>
        <v>0</v>
      </c>
      <c r="E125" s="2">
        <f>IFERROR(VLOOKUP(D125,Config!A:B,2,FALSE),)</f>
        <v>0</v>
      </c>
      <c r="H125" s="2">
        <f t="shared" si="1"/>
        <v>0</v>
      </c>
    </row>
    <row r="126" spans="3:8" x14ac:dyDescent="0.35">
      <c r="C126" s="2">
        <f>IFERROR(VLOOKUP(B126,KPI!A:B,2,FALSE),)</f>
        <v>0</v>
      </c>
      <c r="D126" s="2">
        <f>IFERROR(VLOOKUP(B126,Task_Mapping!A:B,2,FALSE),)</f>
        <v>0</v>
      </c>
      <c r="E126" s="2">
        <f>IFERROR(VLOOKUP(D126,Config!A:B,2,FALSE),)</f>
        <v>0</v>
      </c>
      <c r="H126" s="2">
        <f t="shared" si="1"/>
        <v>0</v>
      </c>
    </row>
    <row r="127" spans="3:8" x14ac:dyDescent="0.35">
      <c r="C127" s="2">
        <f>IFERROR(VLOOKUP(B127,KPI!A:B,2,FALSE),)</f>
        <v>0</v>
      </c>
      <c r="D127" s="2">
        <f>IFERROR(VLOOKUP(B127,Task_Mapping!A:B,2,FALSE),)</f>
        <v>0</v>
      </c>
      <c r="E127" s="2">
        <f>IFERROR(VLOOKUP(D127,Config!A:B,2,FALSE),)</f>
        <v>0</v>
      </c>
      <c r="H127" s="2">
        <f t="shared" si="1"/>
        <v>0</v>
      </c>
    </row>
    <row r="128" spans="3:8" x14ac:dyDescent="0.35">
      <c r="C128" s="2">
        <f>IFERROR(VLOOKUP(B128,KPI!A:B,2,FALSE),)</f>
        <v>0</v>
      </c>
      <c r="D128" s="2">
        <f>IFERROR(VLOOKUP(B128,Task_Mapping!A:B,2,FALSE),)</f>
        <v>0</v>
      </c>
      <c r="E128" s="2">
        <f>IFERROR(VLOOKUP(D128,Config!A:B,2,FALSE),)</f>
        <v>0</v>
      </c>
      <c r="H128" s="2">
        <f t="shared" si="1"/>
        <v>0</v>
      </c>
    </row>
    <row r="129" spans="3:8" x14ac:dyDescent="0.35">
      <c r="C129" s="2">
        <f>IFERROR(VLOOKUP(B129,KPI!A:B,2,FALSE),)</f>
        <v>0</v>
      </c>
      <c r="D129" s="2">
        <f>IFERROR(VLOOKUP(B129,Task_Mapping!A:B,2,FALSE),)</f>
        <v>0</v>
      </c>
      <c r="E129" s="2">
        <f>IFERROR(VLOOKUP(D129,Config!A:B,2,FALSE),)</f>
        <v>0</v>
      </c>
      <c r="H129" s="2">
        <f t="shared" si="1"/>
        <v>0</v>
      </c>
    </row>
    <row r="130" spans="3:8" x14ac:dyDescent="0.35">
      <c r="C130" s="2">
        <f>IFERROR(VLOOKUP(B130,KPI!A:B,2,FALSE),)</f>
        <v>0</v>
      </c>
      <c r="D130" s="2">
        <f>IFERROR(VLOOKUP(B130,Task_Mapping!A:B,2,FALSE),)</f>
        <v>0</v>
      </c>
      <c r="E130" s="2">
        <f>IFERROR(VLOOKUP(D130,Config!A:B,2,FALSE),)</f>
        <v>0</v>
      </c>
      <c r="H130" s="2">
        <f t="shared" si="1"/>
        <v>0</v>
      </c>
    </row>
    <row r="131" spans="3:8" x14ac:dyDescent="0.35">
      <c r="C131" s="2">
        <f>IFERROR(VLOOKUP(B131,KPI!A:B,2,FALSE),)</f>
        <v>0</v>
      </c>
      <c r="D131" s="2">
        <f>IFERROR(VLOOKUP(B131,Task_Mapping!A:B,2,FALSE),)</f>
        <v>0</v>
      </c>
      <c r="E131" s="2">
        <f>IFERROR(VLOOKUP(D131,Config!A:B,2,FALSE),)</f>
        <v>0</v>
      </c>
      <c r="H131" s="2">
        <f t="shared" si="1"/>
        <v>0</v>
      </c>
    </row>
    <row r="132" spans="3:8" x14ac:dyDescent="0.35">
      <c r="C132" s="2">
        <f>IFERROR(VLOOKUP(B132,KPI!A:B,2,FALSE),)</f>
        <v>0</v>
      </c>
      <c r="D132" s="2">
        <f>IFERROR(VLOOKUP(B132,Task_Mapping!A:B,2,FALSE),)</f>
        <v>0</v>
      </c>
      <c r="E132" s="2">
        <f>IFERROR(VLOOKUP(D132,Config!A:B,2,FALSE),)</f>
        <v>0</v>
      </c>
      <c r="H132" s="2">
        <f t="shared" ref="H132:H195" si="2">((G132 - F132)*24)</f>
        <v>0</v>
      </c>
    </row>
    <row r="133" spans="3:8" x14ac:dyDescent="0.35">
      <c r="C133" s="2">
        <f>IFERROR(VLOOKUP(B133,KPI!A:B,2,FALSE),)</f>
        <v>0</v>
      </c>
      <c r="D133" s="2">
        <f>IFERROR(VLOOKUP(B133,Task_Mapping!A:B,2,FALSE),)</f>
        <v>0</v>
      </c>
      <c r="E133" s="2">
        <f>IFERROR(VLOOKUP(D133,Config!A:B,2,FALSE),)</f>
        <v>0</v>
      </c>
      <c r="H133" s="2">
        <f t="shared" si="2"/>
        <v>0</v>
      </c>
    </row>
    <row r="134" spans="3:8" x14ac:dyDescent="0.35">
      <c r="C134" s="2">
        <f>IFERROR(VLOOKUP(B134,KPI!A:B,2,FALSE),)</f>
        <v>0</v>
      </c>
      <c r="D134" s="2">
        <f>IFERROR(VLOOKUP(B134,Task_Mapping!A:B,2,FALSE),)</f>
        <v>0</v>
      </c>
      <c r="E134" s="2">
        <f>IFERROR(VLOOKUP(D134,Config!A:B,2,FALSE),)</f>
        <v>0</v>
      </c>
      <c r="H134" s="2">
        <f t="shared" si="2"/>
        <v>0</v>
      </c>
    </row>
    <row r="135" spans="3:8" x14ac:dyDescent="0.35">
      <c r="C135" s="2">
        <f>IFERROR(VLOOKUP(B135,KPI!A:B,2,FALSE),)</f>
        <v>0</v>
      </c>
      <c r="D135" s="2">
        <f>IFERROR(VLOOKUP(B135,Task_Mapping!A:B,2,FALSE),)</f>
        <v>0</v>
      </c>
      <c r="E135" s="2">
        <f>IFERROR(VLOOKUP(D135,Config!A:B,2,FALSE),)</f>
        <v>0</v>
      </c>
      <c r="H135" s="2">
        <f t="shared" si="2"/>
        <v>0</v>
      </c>
    </row>
    <row r="136" spans="3:8" x14ac:dyDescent="0.35">
      <c r="C136" s="2">
        <f>IFERROR(VLOOKUP(B136,KPI!A:B,2,FALSE),)</f>
        <v>0</v>
      </c>
      <c r="D136" s="2">
        <f>IFERROR(VLOOKUP(B136,Task_Mapping!A:B,2,FALSE),)</f>
        <v>0</v>
      </c>
      <c r="E136" s="2">
        <f>IFERROR(VLOOKUP(D136,Config!A:B,2,FALSE),)</f>
        <v>0</v>
      </c>
      <c r="H136" s="2">
        <f t="shared" si="2"/>
        <v>0</v>
      </c>
    </row>
    <row r="137" spans="3:8" x14ac:dyDescent="0.35">
      <c r="C137" s="2">
        <f>IFERROR(VLOOKUP(B137,KPI!A:B,2,FALSE),)</f>
        <v>0</v>
      </c>
      <c r="D137" s="2">
        <f>IFERROR(VLOOKUP(B137,Task_Mapping!A:B,2,FALSE),)</f>
        <v>0</v>
      </c>
      <c r="E137" s="2">
        <f>IFERROR(VLOOKUP(D137,Config!A:B,2,FALSE),)</f>
        <v>0</v>
      </c>
      <c r="H137" s="2">
        <f t="shared" si="2"/>
        <v>0</v>
      </c>
    </row>
    <row r="138" spans="3:8" x14ac:dyDescent="0.35">
      <c r="C138" s="2">
        <f>IFERROR(VLOOKUP(B138,KPI!A:B,2,FALSE),)</f>
        <v>0</v>
      </c>
      <c r="D138" s="2">
        <f>IFERROR(VLOOKUP(B138,Task_Mapping!A:B,2,FALSE),)</f>
        <v>0</v>
      </c>
      <c r="E138" s="2">
        <f>IFERROR(VLOOKUP(D138,Config!A:B,2,FALSE),)</f>
        <v>0</v>
      </c>
      <c r="H138" s="2">
        <f t="shared" si="2"/>
        <v>0</v>
      </c>
    </row>
    <row r="139" spans="3:8" x14ac:dyDescent="0.35">
      <c r="C139" s="2">
        <f>IFERROR(VLOOKUP(B139,KPI!A:B,2,FALSE),)</f>
        <v>0</v>
      </c>
      <c r="D139" s="2">
        <f>IFERROR(VLOOKUP(B139,Task_Mapping!A:B,2,FALSE),)</f>
        <v>0</v>
      </c>
      <c r="E139" s="2">
        <f>IFERROR(VLOOKUP(D139,Config!A:B,2,FALSE),)</f>
        <v>0</v>
      </c>
      <c r="H139" s="2">
        <f t="shared" si="2"/>
        <v>0</v>
      </c>
    </row>
    <row r="140" spans="3:8" x14ac:dyDescent="0.35">
      <c r="C140" s="2">
        <f>IFERROR(VLOOKUP(B140,KPI!A:B,2,FALSE),)</f>
        <v>0</v>
      </c>
      <c r="D140" s="2">
        <f>IFERROR(VLOOKUP(B140,Task_Mapping!A:B,2,FALSE),)</f>
        <v>0</v>
      </c>
      <c r="E140" s="2">
        <f>IFERROR(VLOOKUP(D140,Config!A:B,2,FALSE),)</f>
        <v>0</v>
      </c>
      <c r="H140" s="2">
        <f t="shared" si="2"/>
        <v>0</v>
      </c>
    </row>
    <row r="141" spans="3:8" x14ac:dyDescent="0.35">
      <c r="C141" s="2">
        <f>IFERROR(VLOOKUP(B141,KPI!A:B,2,FALSE),)</f>
        <v>0</v>
      </c>
      <c r="D141" s="2">
        <f>IFERROR(VLOOKUP(B141,Task_Mapping!A:B,2,FALSE),)</f>
        <v>0</v>
      </c>
      <c r="E141" s="2">
        <f>IFERROR(VLOOKUP(D141,Config!A:B,2,FALSE),)</f>
        <v>0</v>
      </c>
      <c r="H141" s="2">
        <f t="shared" si="2"/>
        <v>0</v>
      </c>
    </row>
    <row r="142" spans="3:8" x14ac:dyDescent="0.35">
      <c r="C142" s="2">
        <f>IFERROR(VLOOKUP(B142,KPI!A:B,2,FALSE),)</f>
        <v>0</v>
      </c>
      <c r="D142" s="2">
        <f>IFERROR(VLOOKUP(B142,Task_Mapping!A:B,2,FALSE),)</f>
        <v>0</v>
      </c>
      <c r="E142" s="2">
        <f>IFERROR(VLOOKUP(D142,Config!A:B,2,FALSE),)</f>
        <v>0</v>
      </c>
      <c r="H142" s="2">
        <f t="shared" si="2"/>
        <v>0</v>
      </c>
    </row>
    <row r="143" spans="3:8" x14ac:dyDescent="0.35">
      <c r="C143" s="2">
        <f>IFERROR(VLOOKUP(B143,KPI!A:B,2,FALSE),)</f>
        <v>0</v>
      </c>
      <c r="D143" s="2">
        <f>IFERROR(VLOOKUP(B143,Task_Mapping!A:B,2,FALSE),)</f>
        <v>0</v>
      </c>
      <c r="E143" s="2">
        <f>IFERROR(VLOOKUP(D143,Config!A:B,2,FALSE),)</f>
        <v>0</v>
      </c>
      <c r="H143" s="2">
        <f t="shared" si="2"/>
        <v>0</v>
      </c>
    </row>
    <row r="144" spans="3:8" x14ac:dyDescent="0.35">
      <c r="C144" s="2">
        <f>IFERROR(VLOOKUP(B144,KPI!A:B,2,FALSE),)</f>
        <v>0</v>
      </c>
      <c r="D144" s="2">
        <f>IFERROR(VLOOKUP(B144,Task_Mapping!A:B,2,FALSE),)</f>
        <v>0</v>
      </c>
      <c r="E144" s="2">
        <f>IFERROR(VLOOKUP(D144,Config!A:B,2,FALSE),)</f>
        <v>0</v>
      </c>
      <c r="H144" s="2">
        <f t="shared" si="2"/>
        <v>0</v>
      </c>
    </row>
    <row r="145" spans="3:8" x14ac:dyDescent="0.35">
      <c r="C145" s="2">
        <f>IFERROR(VLOOKUP(B145,KPI!A:B,2,FALSE),)</f>
        <v>0</v>
      </c>
      <c r="D145" s="2">
        <f>IFERROR(VLOOKUP(B145,Task_Mapping!A:B,2,FALSE),)</f>
        <v>0</v>
      </c>
      <c r="E145" s="2">
        <f>IFERROR(VLOOKUP(D145,Config!A:B,2,FALSE),)</f>
        <v>0</v>
      </c>
      <c r="H145" s="2">
        <f t="shared" si="2"/>
        <v>0</v>
      </c>
    </row>
    <row r="146" spans="3:8" x14ac:dyDescent="0.35">
      <c r="C146" s="2">
        <f>IFERROR(VLOOKUP(B146,KPI!A:B,2,FALSE),)</f>
        <v>0</v>
      </c>
      <c r="D146" s="2">
        <f>IFERROR(VLOOKUP(B146,Task_Mapping!A:B,2,FALSE),)</f>
        <v>0</v>
      </c>
      <c r="E146" s="2">
        <f>IFERROR(VLOOKUP(D146,Config!A:B,2,FALSE),)</f>
        <v>0</v>
      </c>
      <c r="H146" s="2">
        <f t="shared" si="2"/>
        <v>0</v>
      </c>
    </row>
    <row r="147" spans="3:8" x14ac:dyDescent="0.35">
      <c r="C147" s="2">
        <f>IFERROR(VLOOKUP(B147,KPI!A:B,2,FALSE),)</f>
        <v>0</v>
      </c>
      <c r="D147" s="2">
        <f>IFERROR(VLOOKUP(B147,Task_Mapping!A:B,2,FALSE),)</f>
        <v>0</v>
      </c>
      <c r="E147" s="2">
        <f>IFERROR(VLOOKUP(D147,Config!A:B,2,FALSE),)</f>
        <v>0</v>
      </c>
      <c r="H147" s="2">
        <f t="shared" si="2"/>
        <v>0</v>
      </c>
    </row>
    <row r="148" spans="3:8" x14ac:dyDescent="0.35">
      <c r="C148" s="2">
        <f>IFERROR(VLOOKUP(B148,KPI!A:B,2,FALSE),)</f>
        <v>0</v>
      </c>
      <c r="D148" s="2">
        <f>IFERROR(VLOOKUP(B148,Task_Mapping!A:B,2,FALSE),)</f>
        <v>0</v>
      </c>
      <c r="E148" s="2">
        <f>IFERROR(VLOOKUP(D148,Config!A:B,2,FALSE),)</f>
        <v>0</v>
      </c>
      <c r="H148" s="2">
        <f t="shared" si="2"/>
        <v>0</v>
      </c>
    </row>
    <row r="149" spans="3:8" x14ac:dyDescent="0.35">
      <c r="C149" s="2">
        <f>IFERROR(VLOOKUP(B149,KPI!A:B,2,FALSE),)</f>
        <v>0</v>
      </c>
      <c r="D149" s="2">
        <f>IFERROR(VLOOKUP(B149,Task_Mapping!A:B,2,FALSE),)</f>
        <v>0</v>
      </c>
      <c r="E149" s="2">
        <f>IFERROR(VLOOKUP(D149,Config!A:B,2,FALSE),)</f>
        <v>0</v>
      </c>
      <c r="H149" s="2">
        <f t="shared" si="2"/>
        <v>0</v>
      </c>
    </row>
    <row r="150" spans="3:8" x14ac:dyDescent="0.35">
      <c r="C150" s="2">
        <f>IFERROR(VLOOKUP(B150,KPI!A:B,2,FALSE),)</f>
        <v>0</v>
      </c>
      <c r="D150" s="2">
        <f>IFERROR(VLOOKUP(B150,Task_Mapping!A:B,2,FALSE),)</f>
        <v>0</v>
      </c>
      <c r="E150" s="2">
        <f>IFERROR(VLOOKUP(D150,Config!A:B,2,FALSE),)</f>
        <v>0</v>
      </c>
      <c r="H150" s="2">
        <f t="shared" si="2"/>
        <v>0</v>
      </c>
    </row>
    <row r="151" spans="3:8" x14ac:dyDescent="0.35">
      <c r="C151" s="2">
        <f>IFERROR(VLOOKUP(B151,KPI!A:B,2,FALSE),)</f>
        <v>0</v>
      </c>
      <c r="D151" s="2">
        <f>IFERROR(VLOOKUP(B151,Task_Mapping!A:B,2,FALSE),)</f>
        <v>0</v>
      </c>
      <c r="E151" s="2">
        <f>IFERROR(VLOOKUP(D151,Config!A:B,2,FALSE),)</f>
        <v>0</v>
      </c>
      <c r="H151" s="2">
        <f t="shared" si="2"/>
        <v>0</v>
      </c>
    </row>
    <row r="152" spans="3:8" x14ac:dyDescent="0.35">
      <c r="C152" s="2">
        <f>IFERROR(VLOOKUP(B152,KPI!A:B,2,FALSE),)</f>
        <v>0</v>
      </c>
      <c r="D152" s="2">
        <f>IFERROR(VLOOKUP(B152,Task_Mapping!A:B,2,FALSE),)</f>
        <v>0</v>
      </c>
      <c r="E152" s="2">
        <f>IFERROR(VLOOKUP(D152,Config!A:B,2,FALSE),)</f>
        <v>0</v>
      </c>
      <c r="H152" s="2">
        <f t="shared" si="2"/>
        <v>0</v>
      </c>
    </row>
    <row r="153" spans="3:8" x14ac:dyDescent="0.35">
      <c r="C153" s="2">
        <f>IFERROR(VLOOKUP(B153,KPI!A:B,2,FALSE),)</f>
        <v>0</v>
      </c>
      <c r="D153" s="2">
        <f>IFERROR(VLOOKUP(B153,Task_Mapping!A:B,2,FALSE),)</f>
        <v>0</v>
      </c>
      <c r="E153" s="2">
        <f>IFERROR(VLOOKUP(D153,Config!A:B,2,FALSE),)</f>
        <v>0</v>
      </c>
      <c r="H153" s="2">
        <f t="shared" si="2"/>
        <v>0</v>
      </c>
    </row>
    <row r="154" spans="3:8" x14ac:dyDescent="0.35">
      <c r="C154" s="2">
        <f>IFERROR(VLOOKUP(B154,KPI!A:B,2,FALSE),)</f>
        <v>0</v>
      </c>
      <c r="D154" s="2">
        <f>IFERROR(VLOOKUP(B154,Task_Mapping!A:B,2,FALSE),)</f>
        <v>0</v>
      </c>
      <c r="E154" s="2">
        <f>IFERROR(VLOOKUP(D154,Config!A:B,2,FALSE),)</f>
        <v>0</v>
      </c>
      <c r="H154" s="2">
        <f t="shared" si="2"/>
        <v>0</v>
      </c>
    </row>
    <row r="155" spans="3:8" x14ac:dyDescent="0.35">
      <c r="C155" s="2">
        <f>IFERROR(VLOOKUP(B155,KPI!A:B,2,FALSE),)</f>
        <v>0</v>
      </c>
      <c r="D155" s="2">
        <f>IFERROR(VLOOKUP(B155,Task_Mapping!A:B,2,FALSE),)</f>
        <v>0</v>
      </c>
      <c r="E155" s="2">
        <f>IFERROR(VLOOKUP(D155,Config!A:B,2,FALSE),)</f>
        <v>0</v>
      </c>
      <c r="H155" s="2">
        <f t="shared" si="2"/>
        <v>0</v>
      </c>
    </row>
    <row r="156" spans="3:8" x14ac:dyDescent="0.35">
      <c r="C156" s="2">
        <f>IFERROR(VLOOKUP(B156,KPI!A:B,2,FALSE),)</f>
        <v>0</v>
      </c>
      <c r="D156" s="2">
        <f>IFERROR(VLOOKUP(B156,Task_Mapping!A:B,2,FALSE),)</f>
        <v>0</v>
      </c>
      <c r="E156" s="2">
        <f>IFERROR(VLOOKUP(D156,Config!A:B,2,FALSE),)</f>
        <v>0</v>
      </c>
      <c r="H156" s="2">
        <f t="shared" si="2"/>
        <v>0</v>
      </c>
    </row>
    <row r="157" spans="3:8" x14ac:dyDescent="0.35">
      <c r="C157" s="2">
        <f>IFERROR(VLOOKUP(B157,KPI!A:B,2,FALSE),)</f>
        <v>0</v>
      </c>
      <c r="D157" s="2">
        <f>IFERROR(VLOOKUP(B157,Task_Mapping!A:B,2,FALSE),)</f>
        <v>0</v>
      </c>
      <c r="E157" s="2">
        <f>IFERROR(VLOOKUP(D157,Config!A:B,2,FALSE),)</f>
        <v>0</v>
      </c>
      <c r="H157" s="2">
        <f t="shared" si="2"/>
        <v>0</v>
      </c>
    </row>
    <row r="158" spans="3:8" x14ac:dyDescent="0.35">
      <c r="C158" s="2">
        <f>IFERROR(VLOOKUP(B158,KPI!A:B,2,FALSE),)</f>
        <v>0</v>
      </c>
      <c r="D158" s="2">
        <f>IFERROR(VLOOKUP(B158,Task_Mapping!A:B,2,FALSE),)</f>
        <v>0</v>
      </c>
      <c r="E158" s="2">
        <f>IFERROR(VLOOKUP(D158,Config!A:B,2,FALSE),)</f>
        <v>0</v>
      </c>
      <c r="H158" s="2">
        <f t="shared" si="2"/>
        <v>0</v>
      </c>
    </row>
    <row r="159" spans="3:8" x14ac:dyDescent="0.35">
      <c r="C159" s="2">
        <f>IFERROR(VLOOKUP(B159,KPI!A:B,2,FALSE),)</f>
        <v>0</v>
      </c>
      <c r="D159" s="2">
        <f>IFERROR(VLOOKUP(B159,Task_Mapping!A:B,2,FALSE),)</f>
        <v>0</v>
      </c>
      <c r="E159" s="2">
        <f>IFERROR(VLOOKUP(D159,Config!A:B,2,FALSE),)</f>
        <v>0</v>
      </c>
      <c r="H159" s="2">
        <f t="shared" si="2"/>
        <v>0</v>
      </c>
    </row>
    <row r="160" spans="3:8" x14ac:dyDescent="0.35">
      <c r="C160" s="2">
        <f>IFERROR(VLOOKUP(B160,KPI!A:B,2,FALSE),)</f>
        <v>0</v>
      </c>
      <c r="D160" s="2">
        <f>IFERROR(VLOOKUP(B160,Task_Mapping!A:B,2,FALSE),)</f>
        <v>0</v>
      </c>
      <c r="E160" s="2">
        <f>IFERROR(VLOOKUP(D160,Config!A:B,2,FALSE),)</f>
        <v>0</v>
      </c>
      <c r="H160" s="2">
        <f t="shared" si="2"/>
        <v>0</v>
      </c>
    </row>
    <row r="161" spans="3:8" x14ac:dyDescent="0.35">
      <c r="C161" s="2">
        <f>IFERROR(VLOOKUP(B161,KPI!A:B,2,FALSE),)</f>
        <v>0</v>
      </c>
      <c r="D161" s="2">
        <f>IFERROR(VLOOKUP(B161,Task_Mapping!A:B,2,FALSE),)</f>
        <v>0</v>
      </c>
      <c r="E161" s="2">
        <f>IFERROR(VLOOKUP(D161,Config!A:B,2,FALSE),)</f>
        <v>0</v>
      </c>
      <c r="H161" s="2">
        <f t="shared" si="2"/>
        <v>0</v>
      </c>
    </row>
    <row r="162" spans="3:8" x14ac:dyDescent="0.35">
      <c r="C162" s="2">
        <f>IFERROR(VLOOKUP(B162,KPI!A:B,2,FALSE),)</f>
        <v>0</v>
      </c>
      <c r="D162" s="2">
        <f>IFERROR(VLOOKUP(B162,Task_Mapping!A:B,2,FALSE),)</f>
        <v>0</v>
      </c>
      <c r="E162" s="2">
        <f>IFERROR(VLOOKUP(D162,Config!A:B,2,FALSE),)</f>
        <v>0</v>
      </c>
      <c r="H162" s="2">
        <f t="shared" si="2"/>
        <v>0</v>
      </c>
    </row>
    <row r="163" spans="3:8" x14ac:dyDescent="0.35">
      <c r="C163" s="2">
        <f>IFERROR(VLOOKUP(B163,KPI!A:B,2,FALSE),)</f>
        <v>0</v>
      </c>
      <c r="D163" s="2">
        <f>IFERROR(VLOOKUP(B163,Task_Mapping!A:B,2,FALSE),)</f>
        <v>0</v>
      </c>
      <c r="E163" s="2">
        <f>IFERROR(VLOOKUP(D163,Config!A:B,2,FALSE),)</f>
        <v>0</v>
      </c>
      <c r="H163" s="2">
        <f t="shared" si="2"/>
        <v>0</v>
      </c>
    </row>
    <row r="164" spans="3:8" x14ac:dyDescent="0.35">
      <c r="C164" s="2">
        <f>IFERROR(VLOOKUP(B164,KPI!A:B,2,FALSE),)</f>
        <v>0</v>
      </c>
      <c r="D164" s="2">
        <f>IFERROR(VLOOKUP(B164,Task_Mapping!A:B,2,FALSE),)</f>
        <v>0</v>
      </c>
      <c r="E164" s="2">
        <f>IFERROR(VLOOKUP(D164,Config!A:B,2,FALSE),)</f>
        <v>0</v>
      </c>
      <c r="H164" s="2">
        <f t="shared" si="2"/>
        <v>0</v>
      </c>
    </row>
    <row r="165" spans="3:8" x14ac:dyDescent="0.35">
      <c r="C165" s="2">
        <f>IFERROR(VLOOKUP(B165,KPI!A:B,2,FALSE),)</f>
        <v>0</v>
      </c>
      <c r="D165" s="2">
        <f>IFERROR(VLOOKUP(B165,Task_Mapping!A:B,2,FALSE),)</f>
        <v>0</v>
      </c>
      <c r="E165" s="2">
        <f>IFERROR(VLOOKUP(D165,Config!A:B,2,FALSE),)</f>
        <v>0</v>
      </c>
      <c r="H165" s="2">
        <f t="shared" si="2"/>
        <v>0</v>
      </c>
    </row>
    <row r="166" spans="3:8" x14ac:dyDescent="0.35">
      <c r="C166" s="2">
        <f>IFERROR(VLOOKUP(B166,KPI!A:B,2,FALSE),)</f>
        <v>0</v>
      </c>
      <c r="D166" s="2">
        <f>IFERROR(VLOOKUP(B166,Task_Mapping!A:B,2,FALSE),)</f>
        <v>0</v>
      </c>
      <c r="E166" s="2">
        <f>IFERROR(VLOOKUP(D166,Config!A:B,2,FALSE),)</f>
        <v>0</v>
      </c>
      <c r="H166" s="2">
        <f t="shared" si="2"/>
        <v>0</v>
      </c>
    </row>
    <row r="167" spans="3:8" x14ac:dyDescent="0.35">
      <c r="C167" s="2">
        <f>IFERROR(VLOOKUP(B167,KPI!A:B,2,FALSE),)</f>
        <v>0</v>
      </c>
      <c r="D167" s="2">
        <f>IFERROR(VLOOKUP(B167,Task_Mapping!A:B,2,FALSE),)</f>
        <v>0</v>
      </c>
      <c r="E167" s="2">
        <f>IFERROR(VLOOKUP(D167,Config!A:B,2,FALSE),)</f>
        <v>0</v>
      </c>
      <c r="H167" s="2">
        <f t="shared" si="2"/>
        <v>0</v>
      </c>
    </row>
    <row r="168" spans="3:8" x14ac:dyDescent="0.35">
      <c r="C168" s="2">
        <f>IFERROR(VLOOKUP(B168,KPI!A:B,2,FALSE),)</f>
        <v>0</v>
      </c>
      <c r="D168" s="2">
        <f>IFERROR(VLOOKUP(B168,Task_Mapping!A:B,2,FALSE),)</f>
        <v>0</v>
      </c>
      <c r="E168" s="2">
        <f>IFERROR(VLOOKUP(D168,Config!A:B,2,FALSE),)</f>
        <v>0</v>
      </c>
      <c r="H168" s="2">
        <f t="shared" si="2"/>
        <v>0</v>
      </c>
    </row>
    <row r="169" spans="3:8" x14ac:dyDescent="0.35">
      <c r="C169" s="2">
        <f>IFERROR(VLOOKUP(B169,KPI!A:B,2,FALSE),)</f>
        <v>0</v>
      </c>
      <c r="D169" s="2">
        <f>IFERROR(VLOOKUP(B169,Task_Mapping!A:B,2,FALSE),)</f>
        <v>0</v>
      </c>
      <c r="E169" s="2">
        <f>IFERROR(VLOOKUP(D169,Config!A:B,2,FALSE),)</f>
        <v>0</v>
      </c>
      <c r="H169" s="2">
        <f t="shared" si="2"/>
        <v>0</v>
      </c>
    </row>
    <row r="170" spans="3:8" x14ac:dyDescent="0.35">
      <c r="C170" s="2">
        <f>IFERROR(VLOOKUP(B170,KPI!A:B,2,FALSE),)</f>
        <v>0</v>
      </c>
      <c r="D170" s="2">
        <f>IFERROR(VLOOKUP(B170,Task_Mapping!A:B,2,FALSE),)</f>
        <v>0</v>
      </c>
      <c r="E170" s="2">
        <f>IFERROR(VLOOKUP(D170,Config!A:B,2,FALSE),)</f>
        <v>0</v>
      </c>
      <c r="H170" s="2">
        <f t="shared" si="2"/>
        <v>0</v>
      </c>
    </row>
    <row r="171" spans="3:8" x14ac:dyDescent="0.35">
      <c r="C171" s="2">
        <f>IFERROR(VLOOKUP(B171,KPI!A:B,2,FALSE),)</f>
        <v>0</v>
      </c>
      <c r="D171" s="2">
        <f>IFERROR(VLOOKUP(B171,Task_Mapping!A:B,2,FALSE),)</f>
        <v>0</v>
      </c>
      <c r="E171" s="2">
        <f>IFERROR(VLOOKUP(D171,Config!A:B,2,FALSE),)</f>
        <v>0</v>
      </c>
      <c r="H171" s="2">
        <f t="shared" si="2"/>
        <v>0</v>
      </c>
    </row>
    <row r="172" spans="3:8" x14ac:dyDescent="0.35">
      <c r="C172" s="2">
        <f>IFERROR(VLOOKUP(B172,KPI!A:B,2,FALSE),)</f>
        <v>0</v>
      </c>
      <c r="D172" s="2">
        <f>IFERROR(VLOOKUP(B172,Task_Mapping!A:B,2,FALSE),)</f>
        <v>0</v>
      </c>
      <c r="E172" s="2">
        <f>IFERROR(VLOOKUP(D172,Config!A:B,2,FALSE),)</f>
        <v>0</v>
      </c>
      <c r="H172" s="2">
        <f t="shared" si="2"/>
        <v>0</v>
      </c>
    </row>
    <row r="173" spans="3:8" x14ac:dyDescent="0.35">
      <c r="C173" s="2">
        <f>IFERROR(VLOOKUP(B173,KPI!A:B,2,FALSE),)</f>
        <v>0</v>
      </c>
      <c r="D173" s="2">
        <f>IFERROR(VLOOKUP(B173,Task_Mapping!A:B,2,FALSE),)</f>
        <v>0</v>
      </c>
      <c r="E173" s="2">
        <f>IFERROR(VLOOKUP(D173,Config!A:B,2,FALSE),)</f>
        <v>0</v>
      </c>
      <c r="H173" s="2">
        <f t="shared" si="2"/>
        <v>0</v>
      </c>
    </row>
    <row r="174" spans="3:8" x14ac:dyDescent="0.35">
      <c r="C174" s="2">
        <f>IFERROR(VLOOKUP(B174,KPI!A:B,2,FALSE),)</f>
        <v>0</v>
      </c>
      <c r="D174" s="2">
        <f>IFERROR(VLOOKUP(B174,Task_Mapping!A:B,2,FALSE),)</f>
        <v>0</v>
      </c>
      <c r="E174" s="2">
        <f>IFERROR(VLOOKUP(D174,Config!A:B,2,FALSE),)</f>
        <v>0</v>
      </c>
      <c r="H174" s="2">
        <f t="shared" si="2"/>
        <v>0</v>
      </c>
    </row>
    <row r="175" spans="3:8" x14ac:dyDescent="0.35">
      <c r="C175" s="2">
        <f>IFERROR(VLOOKUP(B175,KPI!A:B,2,FALSE),)</f>
        <v>0</v>
      </c>
      <c r="D175" s="2">
        <f>IFERROR(VLOOKUP(B175,Task_Mapping!A:B,2,FALSE),)</f>
        <v>0</v>
      </c>
      <c r="E175" s="2">
        <f>IFERROR(VLOOKUP(D175,Config!A:B,2,FALSE),)</f>
        <v>0</v>
      </c>
      <c r="H175" s="2">
        <f t="shared" si="2"/>
        <v>0</v>
      </c>
    </row>
    <row r="176" spans="3:8" x14ac:dyDescent="0.35">
      <c r="C176" s="2">
        <f>IFERROR(VLOOKUP(B176,KPI!A:B,2,FALSE),)</f>
        <v>0</v>
      </c>
      <c r="D176" s="2">
        <f>IFERROR(VLOOKUP(B176,Task_Mapping!A:B,2,FALSE),)</f>
        <v>0</v>
      </c>
      <c r="E176" s="2">
        <f>IFERROR(VLOOKUP(D176,Config!A:B,2,FALSE),)</f>
        <v>0</v>
      </c>
      <c r="H176" s="2">
        <f t="shared" si="2"/>
        <v>0</v>
      </c>
    </row>
    <row r="177" spans="3:8" x14ac:dyDescent="0.35">
      <c r="C177" s="2">
        <f>IFERROR(VLOOKUP(B177,KPI!A:B,2,FALSE),)</f>
        <v>0</v>
      </c>
      <c r="D177" s="2">
        <f>IFERROR(VLOOKUP(B177,Task_Mapping!A:B,2,FALSE),)</f>
        <v>0</v>
      </c>
      <c r="E177" s="2">
        <f>IFERROR(VLOOKUP(D177,Config!A:B,2,FALSE),)</f>
        <v>0</v>
      </c>
      <c r="H177" s="2">
        <f t="shared" si="2"/>
        <v>0</v>
      </c>
    </row>
    <row r="178" spans="3:8" x14ac:dyDescent="0.35">
      <c r="C178" s="2">
        <f>IFERROR(VLOOKUP(B178,KPI!A:B,2,FALSE),)</f>
        <v>0</v>
      </c>
      <c r="D178" s="2">
        <f>IFERROR(VLOOKUP(B178,Task_Mapping!A:B,2,FALSE),)</f>
        <v>0</v>
      </c>
      <c r="E178" s="2">
        <f>IFERROR(VLOOKUP(D178,Config!A:B,2,FALSE),)</f>
        <v>0</v>
      </c>
      <c r="H178" s="2">
        <f t="shared" si="2"/>
        <v>0</v>
      </c>
    </row>
    <row r="179" spans="3:8" x14ac:dyDescent="0.35">
      <c r="C179" s="2">
        <f>IFERROR(VLOOKUP(B179,KPI!A:B,2,FALSE),)</f>
        <v>0</v>
      </c>
      <c r="D179" s="2">
        <f>IFERROR(VLOOKUP(B179,Task_Mapping!A:B,2,FALSE),)</f>
        <v>0</v>
      </c>
      <c r="E179" s="2">
        <f>IFERROR(VLOOKUP(D179,Config!A:B,2,FALSE),)</f>
        <v>0</v>
      </c>
      <c r="H179" s="2">
        <f t="shared" si="2"/>
        <v>0</v>
      </c>
    </row>
    <row r="180" spans="3:8" x14ac:dyDescent="0.35">
      <c r="C180" s="2">
        <f>IFERROR(VLOOKUP(B180,KPI!A:B,2,FALSE),)</f>
        <v>0</v>
      </c>
      <c r="D180" s="2">
        <f>IFERROR(VLOOKUP(B180,Task_Mapping!A:B,2,FALSE),)</f>
        <v>0</v>
      </c>
      <c r="E180" s="2">
        <f>IFERROR(VLOOKUP(D180,Config!A:B,2,FALSE),)</f>
        <v>0</v>
      </c>
      <c r="H180" s="2">
        <f t="shared" si="2"/>
        <v>0</v>
      </c>
    </row>
    <row r="181" spans="3:8" x14ac:dyDescent="0.35">
      <c r="C181" s="2">
        <f>IFERROR(VLOOKUP(B181,KPI!A:B,2,FALSE),)</f>
        <v>0</v>
      </c>
      <c r="D181" s="2">
        <f>IFERROR(VLOOKUP(B181,Task_Mapping!A:B,2,FALSE),)</f>
        <v>0</v>
      </c>
      <c r="E181" s="2">
        <f>IFERROR(VLOOKUP(D181,Config!A:B,2,FALSE),)</f>
        <v>0</v>
      </c>
      <c r="H181" s="2">
        <f t="shared" si="2"/>
        <v>0</v>
      </c>
    </row>
    <row r="182" spans="3:8" x14ac:dyDescent="0.35">
      <c r="C182" s="2">
        <f>IFERROR(VLOOKUP(B182,KPI!A:B,2,FALSE),)</f>
        <v>0</v>
      </c>
      <c r="D182" s="2">
        <f>IFERROR(VLOOKUP(B182,Task_Mapping!A:B,2,FALSE),)</f>
        <v>0</v>
      </c>
      <c r="E182" s="2">
        <f>IFERROR(VLOOKUP(D182,Config!A:B,2,FALSE),)</f>
        <v>0</v>
      </c>
      <c r="H182" s="2">
        <f t="shared" si="2"/>
        <v>0</v>
      </c>
    </row>
    <row r="183" spans="3:8" x14ac:dyDescent="0.35">
      <c r="C183" s="2">
        <f>IFERROR(VLOOKUP(B183,KPI!A:B,2,FALSE),)</f>
        <v>0</v>
      </c>
      <c r="D183" s="2">
        <f>IFERROR(VLOOKUP(B183,Task_Mapping!A:B,2,FALSE),)</f>
        <v>0</v>
      </c>
      <c r="E183" s="2">
        <f>IFERROR(VLOOKUP(D183,Config!A:B,2,FALSE),)</f>
        <v>0</v>
      </c>
      <c r="H183" s="2">
        <f t="shared" si="2"/>
        <v>0</v>
      </c>
    </row>
    <row r="184" spans="3:8" x14ac:dyDescent="0.35">
      <c r="C184" s="2">
        <f>IFERROR(VLOOKUP(B184,KPI!A:B,2,FALSE),)</f>
        <v>0</v>
      </c>
      <c r="D184" s="2">
        <f>IFERROR(VLOOKUP(B184,Task_Mapping!A:B,2,FALSE),)</f>
        <v>0</v>
      </c>
      <c r="E184" s="2">
        <f>IFERROR(VLOOKUP(D184,Config!A:B,2,FALSE),)</f>
        <v>0</v>
      </c>
      <c r="H184" s="2">
        <f t="shared" si="2"/>
        <v>0</v>
      </c>
    </row>
    <row r="185" spans="3:8" x14ac:dyDescent="0.35">
      <c r="C185" s="2">
        <f>IFERROR(VLOOKUP(B185,KPI!A:B,2,FALSE),)</f>
        <v>0</v>
      </c>
      <c r="D185" s="2">
        <f>IFERROR(VLOOKUP(B185,Task_Mapping!A:B,2,FALSE),)</f>
        <v>0</v>
      </c>
      <c r="E185" s="2">
        <f>IFERROR(VLOOKUP(D185,Config!A:B,2,FALSE),)</f>
        <v>0</v>
      </c>
      <c r="H185" s="2">
        <f t="shared" si="2"/>
        <v>0</v>
      </c>
    </row>
    <row r="186" spans="3:8" x14ac:dyDescent="0.35">
      <c r="C186" s="2">
        <f>IFERROR(VLOOKUP(B186,KPI!A:B,2,FALSE),)</f>
        <v>0</v>
      </c>
      <c r="D186" s="2">
        <f>IFERROR(VLOOKUP(B186,Task_Mapping!A:B,2,FALSE),)</f>
        <v>0</v>
      </c>
      <c r="E186" s="2">
        <f>IFERROR(VLOOKUP(D186,Config!A:B,2,FALSE),)</f>
        <v>0</v>
      </c>
      <c r="H186" s="2">
        <f t="shared" si="2"/>
        <v>0</v>
      </c>
    </row>
    <row r="187" spans="3:8" x14ac:dyDescent="0.35">
      <c r="C187" s="2">
        <f>IFERROR(VLOOKUP(B187,KPI!A:B,2,FALSE),)</f>
        <v>0</v>
      </c>
      <c r="D187" s="2">
        <f>IFERROR(VLOOKUP(B187,Task_Mapping!A:B,2,FALSE),)</f>
        <v>0</v>
      </c>
      <c r="E187" s="2">
        <f>IFERROR(VLOOKUP(D187,Config!A:B,2,FALSE),)</f>
        <v>0</v>
      </c>
      <c r="H187" s="2">
        <f t="shared" si="2"/>
        <v>0</v>
      </c>
    </row>
    <row r="188" spans="3:8" x14ac:dyDescent="0.35">
      <c r="C188" s="2">
        <f>IFERROR(VLOOKUP(B188,KPI!A:B,2,FALSE),)</f>
        <v>0</v>
      </c>
      <c r="D188" s="2">
        <f>IFERROR(VLOOKUP(B188,Task_Mapping!A:B,2,FALSE),)</f>
        <v>0</v>
      </c>
      <c r="E188" s="2">
        <f>IFERROR(VLOOKUP(D188,Config!A:B,2,FALSE),)</f>
        <v>0</v>
      </c>
      <c r="H188" s="2">
        <f t="shared" si="2"/>
        <v>0</v>
      </c>
    </row>
    <row r="189" spans="3:8" x14ac:dyDescent="0.35">
      <c r="C189" s="2">
        <f>IFERROR(VLOOKUP(B189,KPI!A:B,2,FALSE),)</f>
        <v>0</v>
      </c>
      <c r="D189" s="2">
        <f>IFERROR(VLOOKUP(B189,Task_Mapping!A:B,2,FALSE),)</f>
        <v>0</v>
      </c>
      <c r="E189" s="2">
        <f>IFERROR(VLOOKUP(D189,Config!A:B,2,FALSE),)</f>
        <v>0</v>
      </c>
      <c r="H189" s="2">
        <f t="shared" si="2"/>
        <v>0</v>
      </c>
    </row>
    <row r="190" spans="3:8" x14ac:dyDescent="0.35">
      <c r="C190" s="2">
        <f>IFERROR(VLOOKUP(B190,KPI!A:B,2,FALSE),)</f>
        <v>0</v>
      </c>
      <c r="D190" s="2">
        <f>IFERROR(VLOOKUP(B190,Task_Mapping!A:B,2,FALSE),)</f>
        <v>0</v>
      </c>
      <c r="E190" s="2">
        <f>IFERROR(VLOOKUP(D190,Config!A:B,2,FALSE),)</f>
        <v>0</v>
      </c>
      <c r="H190" s="2">
        <f t="shared" si="2"/>
        <v>0</v>
      </c>
    </row>
    <row r="191" spans="3:8" x14ac:dyDescent="0.35">
      <c r="C191" s="2">
        <f>IFERROR(VLOOKUP(B191,KPI!A:B,2,FALSE),)</f>
        <v>0</v>
      </c>
      <c r="D191" s="2">
        <f>IFERROR(VLOOKUP(B191,Task_Mapping!A:B,2,FALSE),)</f>
        <v>0</v>
      </c>
      <c r="E191" s="2">
        <f>IFERROR(VLOOKUP(D191,Config!A:B,2,FALSE),)</f>
        <v>0</v>
      </c>
      <c r="H191" s="2">
        <f t="shared" si="2"/>
        <v>0</v>
      </c>
    </row>
    <row r="192" spans="3:8" x14ac:dyDescent="0.35">
      <c r="C192" s="2">
        <f>IFERROR(VLOOKUP(B192,KPI!A:B,2,FALSE),)</f>
        <v>0</v>
      </c>
      <c r="D192" s="2">
        <f>IFERROR(VLOOKUP(B192,Task_Mapping!A:B,2,FALSE),)</f>
        <v>0</v>
      </c>
      <c r="E192" s="2">
        <f>IFERROR(VLOOKUP(D192,Config!A:B,2,FALSE),)</f>
        <v>0</v>
      </c>
      <c r="H192" s="2">
        <f t="shared" si="2"/>
        <v>0</v>
      </c>
    </row>
    <row r="193" spans="3:8" x14ac:dyDescent="0.35">
      <c r="C193" s="2">
        <f>IFERROR(VLOOKUP(B193,KPI!A:B,2,FALSE),)</f>
        <v>0</v>
      </c>
      <c r="D193" s="2">
        <f>IFERROR(VLOOKUP(B193,Task_Mapping!A:B,2,FALSE),)</f>
        <v>0</v>
      </c>
      <c r="E193" s="2">
        <f>IFERROR(VLOOKUP(D193,Config!A:B,2,FALSE),)</f>
        <v>0</v>
      </c>
      <c r="H193" s="2">
        <f t="shared" si="2"/>
        <v>0</v>
      </c>
    </row>
    <row r="194" spans="3:8" x14ac:dyDescent="0.35">
      <c r="C194" s="2">
        <f>IFERROR(VLOOKUP(B194,KPI!A:B,2,FALSE),)</f>
        <v>0</v>
      </c>
      <c r="D194" s="2">
        <f>IFERROR(VLOOKUP(B194,Task_Mapping!A:B,2,FALSE),)</f>
        <v>0</v>
      </c>
      <c r="E194" s="2">
        <f>IFERROR(VLOOKUP(D194,Config!A:B,2,FALSE),)</f>
        <v>0</v>
      </c>
      <c r="H194" s="2">
        <f t="shared" si="2"/>
        <v>0</v>
      </c>
    </row>
    <row r="195" spans="3:8" x14ac:dyDescent="0.35">
      <c r="C195" s="2">
        <f>IFERROR(VLOOKUP(B195,KPI!A:B,2,FALSE),)</f>
        <v>0</v>
      </c>
      <c r="D195" s="2">
        <f>IFERROR(VLOOKUP(B195,Task_Mapping!A:B,2,FALSE),)</f>
        <v>0</v>
      </c>
      <c r="E195" s="2">
        <f>IFERROR(VLOOKUP(D195,Config!A:B,2,FALSE),)</f>
        <v>0</v>
      </c>
      <c r="H195" s="2">
        <f t="shared" si="2"/>
        <v>0</v>
      </c>
    </row>
    <row r="196" spans="3:8" x14ac:dyDescent="0.35">
      <c r="C196" s="2">
        <f>IFERROR(VLOOKUP(B196,KPI!A:B,2,FALSE),)</f>
        <v>0</v>
      </c>
      <c r="D196" s="2">
        <f>IFERROR(VLOOKUP(B196,Task_Mapping!A:B,2,FALSE),)</f>
        <v>0</v>
      </c>
      <c r="E196" s="2">
        <f>IFERROR(VLOOKUP(D196,Config!A:B,2,FALSE),)</f>
        <v>0</v>
      </c>
      <c r="H196" s="2">
        <f t="shared" ref="H196:H202" si="3">((G196 - F196)*24)</f>
        <v>0</v>
      </c>
    </row>
    <row r="197" spans="3:8" x14ac:dyDescent="0.35">
      <c r="C197" s="2">
        <f>IFERROR(VLOOKUP(B197,KPI!A:B,2,FALSE),)</f>
        <v>0</v>
      </c>
      <c r="D197" s="2">
        <f>IFERROR(VLOOKUP(B197,Task_Mapping!A:B,2,FALSE),)</f>
        <v>0</v>
      </c>
      <c r="E197" s="2">
        <f>IFERROR(VLOOKUP(D197,Config!A:B,2,FALSE),)</f>
        <v>0</v>
      </c>
      <c r="H197" s="2">
        <f t="shared" si="3"/>
        <v>0</v>
      </c>
    </row>
    <row r="198" spans="3:8" x14ac:dyDescent="0.35">
      <c r="C198" s="2">
        <f>IFERROR(VLOOKUP(B198,KPI!A:B,2,FALSE),)</f>
        <v>0</v>
      </c>
      <c r="D198" s="2">
        <f>IFERROR(VLOOKUP(B198,Task_Mapping!A:B,2,FALSE),)</f>
        <v>0</v>
      </c>
      <c r="E198" s="2">
        <f>IFERROR(VLOOKUP(D198,Config!A:B,2,FALSE),)</f>
        <v>0</v>
      </c>
      <c r="H198" s="2">
        <f t="shared" si="3"/>
        <v>0</v>
      </c>
    </row>
    <row r="199" spans="3:8" x14ac:dyDescent="0.35">
      <c r="C199" s="2">
        <f>IFERROR(VLOOKUP(B199,KPI!A:B,2,FALSE),)</f>
        <v>0</v>
      </c>
      <c r="D199" s="2">
        <f>IFERROR(VLOOKUP(B199,Task_Mapping!A:B,2,FALSE),)</f>
        <v>0</v>
      </c>
      <c r="E199" s="2">
        <f>IFERROR(VLOOKUP(D199,Config!A:B,2,FALSE),)</f>
        <v>0</v>
      </c>
      <c r="H199" s="2">
        <f t="shared" si="3"/>
        <v>0</v>
      </c>
    </row>
    <row r="200" spans="3:8" x14ac:dyDescent="0.35">
      <c r="C200" s="2">
        <f>IFERROR(VLOOKUP(B200,KPI!A:B,2,FALSE),)</f>
        <v>0</v>
      </c>
      <c r="D200" s="2">
        <f>IFERROR(VLOOKUP(B200,Task_Mapping!A:B,2,FALSE),)</f>
        <v>0</v>
      </c>
      <c r="E200" s="2">
        <f>IFERROR(VLOOKUP(D200,Config!A:B,2,FALSE),)</f>
        <v>0</v>
      </c>
      <c r="H200" s="2">
        <f t="shared" si="3"/>
        <v>0</v>
      </c>
    </row>
    <row r="201" spans="3:8" x14ac:dyDescent="0.35">
      <c r="C201" s="2">
        <f>IFERROR(VLOOKUP(B201,KPI!A:B,2,FALSE),)</f>
        <v>0</v>
      </c>
      <c r="D201" s="2">
        <f>IFERROR(VLOOKUP(B201,Task_Mapping!A:B,2,FALSE),)</f>
        <v>0</v>
      </c>
      <c r="E201" s="2">
        <f>IFERROR(VLOOKUP(D201,Config!A:B,2,FALSE),)</f>
        <v>0</v>
      </c>
      <c r="H201" s="2">
        <f t="shared" si="3"/>
        <v>0</v>
      </c>
    </row>
    <row r="202" spans="3:8" x14ac:dyDescent="0.35">
      <c r="C202" s="2">
        <f>IFERROR(VLOOKUP(B202,KPI!A:B,2,FALSE),)</f>
        <v>0</v>
      </c>
      <c r="D202" s="2">
        <f>IFERROR(VLOOKUP(B202,Task_Mapping!A:B,2,FALSE),)</f>
        <v>0</v>
      </c>
      <c r="E202" s="2">
        <f>IFERROR(VLOOKUP(D202,Config!A:B,2,FALSE),)</f>
        <v>0</v>
      </c>
      <c r="H202" s="2">
        <f t="shared" si="3"/>
        <v>0</v>
      </c>
    </row>
  </sheetData>
  <conditionalFormatting sqref="D1:D1048576">
    <cfRule type="cellIs" dxfId="3" priority="1" operator="equal">
      <formula>"قابل پیگیری (Follow-up)"</formula>
    </cfRule>
    <cfRule type="cellIs" dxfId="2" priority="2" operator="equal">
      <formula>"مهم (Important)"</formula>
    </cfRule>
    <cfRule type="cellIs" dxfId="1" priority="3" operator="equal">
      <formula>"ضروری (Essential)"</formula>
    </cfRule>
    <cfRule type="cellIs" dxfId="0" priority="4" operator="equal">
      <formula>"فوری (Urgent)"</formula>
    </cfRule>
  </conditionalFormatting>
  <dataValidations count="1">
    <dataValidation type="list" allowBlank="1" sqref="J2:J201" xr:uid="{00000000-0002-0000-0000-000001000000}">
      <formula1>"برنامه‌ریزی شده,در حال انجام,انجام شد,متوقف شده"</formula1>
    </dataValidation>
  </dataValidations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064F26-16B6-47DB-B91A-33B11C7CBF91}">
          <x14:formula1>
            <xm:f>Task_Mapping!$A$2:$A$13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F829-C81B-450F-AE7E-D0D1DC20A941}">
  <dimension ref="A1:D60"/>
  <sheetViews>
    <sheetView workbookViewId="0">
      <selection activeCell="C2" sqref="C2:C13"/>
    </sheetView>
  </sheetViews>
  <sheetFormatPr defaultRowHeight="14.5" x14ac:dyDescent="0.35"/>
  <cols>
    <col min="1" max="1" width="38.81640625" customWidth="1"/>
    <col min="2" max="2" width="18.54296875" bestFit="1" customWidth="1"/>
    <col min="3" max="3" width="72.36328125" bestFit="1" customWidth="1"/>
    <col min="4" max="4" width="6.81640625" bestFit="1" customWidth="1"/>
  </cols>
  <sheetData>
    <row r="1" spans="1:4" x14ac:dyDescent="0.35">
      <c r="A1" s="6" t="s">
        <v>1</v>
      </c>
      <c r="B1" s="6" t="s">
        <v>2</v>
      </c>
      <c r="C1" s="6" t="s">
        <v>18</v>
      </c>
      <c r="D1" s="6" t="s">
        <v>3</v>
      </c>
    </row>
    <row r="2" spans="1:4" x14ac:dyDescent="0.35">
      <c r="A2" s="8" t="s">
        <v>20</v>
      </c>
      <c r="B2" t="s">
        <v>15</v>
      </c>
      <c r="C2" s="8" t="s">
        <v>21</v>
      </c>
      <c r="D2">
        <v>3</v>
      </c>
    </row>
    <row r="3" spans="1:4" x14ac:dyDescent="0.35">
      <c r="A3" s="8" t="s">
        <v>22</v>
      </c>
      <c r="B3" t="s">
        <v>16</v>
      </c>
      <c r="C3" s="8" t="s">
        <v>23</v>
      </c>
      <c r="D3">
        <v>2</v>
      </c>
    </row>
    <row r="4" spans="1:4" x14ac:dyDescent="0.35">
      <c r="A4" s="8" t="s">
        <v>24</v>
      </c>
      <c r="B4" t="s">
        <v>14</v>
      </c>
      <c r="C4" s="8" t="s">
        <v>25</v>
      </c>
      <c r="D4">
        <v>4</v>
      </c>
    </row>
    <row r="5" spans="1:4" x14ac:dyDescent="0.35">
      <c r="A5" s="8" t="s">
        <v>26</v>
      </c>
      <c r="B5" t="s">
        <v>16</v>
      </c>
      <c r="C5" s="8" t="s">
        <v>29</v>
      </c>
      <c r="D5">
        <v>2</v>
      </c>
    </row>
    <row r="6" spans="1:4" x14ac:dyDescent="0.35">
      <c r="A6" s="8" t="s">
        <v>27</v>
      </c>
      <c r="B6" t="s">
        <v>15</v>
      </c>
      <c r="C6" s="8" t="s">
        <v>28</v>
      </c>
      <c r="D6">
        <v>3</v>
      </c>
    </row>
    <row r="7" spans="1:4" x14ac:dyDescent="0.35">
      <c r="A7" s="8" t="s">
        <v>30</v>
      </c>
      <c r="B7" t="s">
        <v>15</v>
      </c>
      <c r="C7" s="8" t="s">
        <v>31</v>
      </c>
      <c r="D7">
        <v>3</v>
      </c>
    </row>
    <row r="8" spans="1:4" x14ac:dyDescent="0.35">
      <c r="A8" s="8" t="s">
        <v>32</v>
      </c>
      <c r="B8" t="s">
        <v>16</v>
      </c>
      <c r="C8" s="8" t="s">
        <v>33</v>
      </c>
      <c r="D8">
        <v>2</v>
      </c>
    </row>
    <row r="9" spans="1:4" x14ac:dyDescent="0.35">
      <c r="A9" s="8" t="s">
        <v>34</v>
      </c>
      <c r="B9" t="s">
        <v>15</v>
      </c>
      <c r="C9" s="8" t="s">
        <v>35</v>
      </c>
      <c r="D9">
        <v>3</v>
      </c>
    </row>
    <row r="10" spans="1:4" x14ac:dyDescent="0.35">
      <c r="A10" s="8" t="s">
        <v>36</v>
      </c>
      <c r="B10" t="s">
        <v>16</v>
      </c>
      <c r="C10" s="8" t="s">
        <v>37</v>
      </c>
      <c r="D10">
        <v>2</v>
      </c>
    </row>
    <row r="11" spans="1:4" x14ac:dyDescent="0.35">
      <c r="A11" s="8" t="s">
        <v>38</v>
      </c>
      <c r="B11" t="s">
        <v>16</v>
      </c>
      <c r="C11" s="8" t="s">
        <v>39</v>
      </c>
      <c r="D11">
        <v>2</v>
      </c>
    </row>
    <row r="12" spans="1:4" x14ac:dyDescent="0.35">
      <c r="A12" s="8" t="s">
        <v>40</v>
      </c>
      <c r="B12" t="s">
        <v>15</v>
      </c>
      <c r="C12" s="8" t="s">
        <v>42</v>
      </c>
      <c r="D12">
        <v>3</v>
      </c>
    </row>
    <row r="13" spans="1:4" x14ac:dyDescent="0.35">
      <c r="A13" s="8" t="s">
        <v>41</v>
      </c>
      <c r="B13" t="s">
        <v>17</v>
      </c>
      <c r="C13" s="8" t="s">
        <v>43</v>
      </c>
      <c r="D13">
        <v>1</v>
      </c>
    </row>
    <row r="15" spans="1:4" x14ac:dyDescent="0.35">
      <c r="A15" s="8"/>
    </row>
    <row r="16" spans="1:4" x14ac:dyDescent="0.35">
      <c r="A16" s="8"/>
    </row>
    <row r="17" spans="1:1" x14ac:dyDescent="0.35">
      <c r="A17" s="8"/>
    </row>
    <row r="19" spans="1:1" x14ac:dyDescent="0.35">
      <c r="A19" s="8"/>
    </row>
    <row r="21" spans="1:1" x14ac:dyDescent="0.35">
      <c r="A21" s="8"/>
    </row>
    <row r="22" spans="1:1" x14ac:dyDescent="0.35">
      <c r="A22" s="8"/>
    </row>
    <row r="24" spans="1:1" x14ac:dyDescent="0.35">
      <c r="A24" s="8"/>
    </row>
    <row r="25" spans="1:1" x14ac:dyDescent="0.35">
      <c r="A25" s="8"/>
    </row>
    <row r="26" spans="1:1" x14ac:dyDescent="0.35">
      <c r="A26" s="8"/>
    </row>
    <row r="55" spans="1:1" x14ac:dyDescent="0.35">
      <c r="A55" s="8"/>
    </row>
    <row r="57" spans="1:1" x14ac:dyDescent="0.35">
      <c r="A57" s="8"/>
    </row>
    <row r="59" spans="1:1" x14ac:dyDescent="0.35">
      <c r="A59" s="8"/>
    </row>
    <row r="60" spans="1:1" x14ac:dyDescent="0.35">
      <c r="A60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1EE7-36DB-4D01-B788-059585C1693B}">
  <dimension ref="A1:B13"/>
  <sheetViews>
    <sheetView workbookViewId="0">
      <selection activeCell="B2" sqref="B2:B13"/>
    </sheetView>
  </sheetViews>
  <sheetFormatPr defaultRowHeight="14.5" x14ac:dyDescent="0.35"/>
  <cols>
    <col min="1" max="1" width="35.26953125" bestFit="1" customWidth="1"/>
    <col min="2" max="2" width="73.36328125" bestFit="1" customWidth="1"/>
  </cols>
  <sheetData>
    <row r="1" spans="1:2" x14ac:dyDescent="0.35">
      <c r="A1" s="6" t="s">
        <v>1</v>
      </c>
      <c r="B1" s="6" t="s">
        <v>18</v>
      </c>
    </row>
    <row r="2" spans="1:2" x14ac:dyDescent="0.35">
      <c r="A2" s="8" t="s">
        <v>20</v>
      </c>
      <c r="B2" s="8" t="s">
        <v>21</v>
      </c>
    </row>
    <row r="3" spans="1:2" x14ac:dyDescent="0.35">
      <c r="A3" s="8" t="s">
        <v>22</v>
      </c>
      <c r="B3" s="8" t="s">
        <v>23</v>
      </c>
    </row>
    <row r="4" spans="1:2" x14ac:dyDescent="0.35">
      <c r="A4" s="8" t="s">
        <v>24</v>
      </c>
      <c r="B4" s="8" t="s">
        <v>25</v>
      </c>
    </row>
    <row r="5" spans="1:2" x14ac:dyDescent="0.35">
      <c r="A5" s="8" t="s">
        <v>26</v>
      </c>
      <c r="B5" s="8" t="s">
        <v>29</v>
      </c>
    </row>
    <row r="6" spans="1:2" x14ac:dyDescent="0.35">
      <c r="A6" s="8" t="s">
        <v>27</v>
      </c>
      <c r="B6" s="8" t="s">
        <v>28</v>
      </c>
    </row>
    <row r="7" spans="1:2" x14ac:dyDescent="0.35">
      <c r="A7" s="8" t="s">
        <v>30</v>
      </c>
      <c r="B7" s="8" t="s">
        <v>31</v>
      </c>
    </row>
    <row r="8" spans="1:2" x14ac:dyDescent="0.35">
      <c r="A8" s="8" t="s">
        <v>32</v>
      </c>
      <c r="B8" s="8" t="s">
        <v>33</v>
      </c>
    </row>
    <row r="9" spans="1:2" x14ac:dyDescent="0.35">
      <c r="A9" s="8" t="s">
        <v>34</v>
      </c>
      <c r="B9" s="8" t="s">
        <v>35</v>
      </c>
    </row>
    <row r="10" spans="1:2" x14ac:dyDescent="0.35">
      <c r="A10" s="8" t="s">
        <v>36</v>
      </c>
      <c r="B10" s="8" t="s">
        <v>37</v>
      </c>
    </row>
    <row r="11" spans="1:2" x14ac:dyDescent="0.35">
      <c r="A11" s="8" t="s">
        <v>38</v>
      </c>
      <c r="B11" s="8" t="s">
        <v>39</v>
      </c>
    </row>
    <row r="12" spans="1:2" x14ac:dyDescent="0.35">
      <c r="A12" s="8" t="s">
        <v>40</v>
      </c>
      <c r="B12" s="8" t="s">
        <v>42</v>
      </c>
    </row>
    <row r="13" spans="1:2" x14ac:dyDescent="0.35">
      <c r="A13" s="8" t="s">
        <v>41</v>
      </c>
      <c r="B13" s="8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8" sqref="B8"/>
    </sheetView>
  </sheetViews>
  <sheetFormatPr defaultRowHeight="14.5" x14ac:dyDescent="0.35"/>
  <cols>
    <col min="1" max="1" width="20.453125" bestFit="1" customWidth="1"/>
  </cols>
  <sheetData>
    <row r="1" spans="1:2" x14ac:dyDescent="0.35">
      <c r="A1" s="1" t="s">
        <v>10</v>
      </c>
      <c r="B1">
        <f>SUM(Daily_Log!H3:H201)</f>
        <v>0</v>
      </c>
    </row>
    <row r="2" spans="1:2" x14ac:dyDescent="0.35">
      <c r="A2" s="1" t="s">
        <v>11</v>
      </c>
      <c r="B2">
        <f>SUM(Daily_Log!I3:I201)</f>
        <v>0</v>
      </c>
    </row>
    <row r="3" spans="1:2" x14ac:dyDescent="0.35">
      <c r="A3" s="1" t="s">
        <v>12</v>
      </c>
      <c r="B3">
        <f>COUNTIF(Daily_Log!J3:J201,"انجام شد")</f>
        <v>0</v>
      </c>
    </row>
    <row r="4" spans="1:2" x14ac:dyDescent="0.35">
      <c r="A4" s="1" t="s">
        <v>13</v>
      </c>
      <c r="B4">
        <f>IFERROR(B2/B3,0)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A5" sqref="A5"/>
    </sheetView>
  </sheetViews>
  <sheetFormatPr defaultRowHeight="14.5" x14ac:dyDescent="0.35"/>
  <cols>
    <col min="1" max="1" width="18.54296875" bestFit="1" customWidth="1"/>
    <col min="2" max="2" width="6.81640625" bestFit="1" customWidth="1"/>
  </cols>
  <sheetData>
    <row r="1" spans="1:2" x14ac:dyDescent="0.35">
      <c r="A1" s="1" t="s">
        <v>2</v>
      </c>
      <c r="B1" s="1" t="s">
        <v>3</v>
      </c>
    </row>
    <row r="2" spans="1:2" x14ac:dyDescent="0.35">
      <c r="A2" t="s">
        <v>14</v>
      </c>
      <c r="B2">
        <v>4</v>
      </c>
    </row>
    <row r="3" spans="1:2" x14ac:dyDescent="0.35">
      <c r="A3" t="s">
        <v>15</v>
      </c>
      <c r="B3">
        <v>3</v>
      </c>
    </row>
    <row r="4" spans="1:2" x14ac:dyDescent="0.35">
      <c r="A4" t="s">
        <v>16</v>
      </c>
      <c r="B4">
        <v>2</v>
      </c>
    </row>
    <row r="5" spans="1:2" x14ac:dyDescent="0.35">
      <c r="A5" t="s">
        <v>17</v>
      </c>
      <c r="B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Daily_Log</vt:lpstr>
      <vt:lpstr>Task_Mapping</vt:lpstr>
      <vt:lpstr>KPI</vt:lpstr>
      <vt:lpstr>Dashboard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Naiem P Sabet</cp:lastModifiedBy>
  <dcterms:created xsi:type="dcterms:W3CDTF">2026-05-06T08:46:31Z</dcterms:created>
  <dcterms:modified xsi:type="dcterms:W3CDTF">2026-06-03T09:49:41Z</dcterms:modified>
</cp:coreProperties>
</file>