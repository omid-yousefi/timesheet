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8278D4DC-C1D6-44EA-87C3-6D9ABE70C6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E13" i="1"/>
  <c r="E17" i="1"/>
  <c r="E24" i="1"/>
  <c r="E25" i="1"/>
  <c r="E27" i="1"/>
  <c r="E28" i="1"/>
  <c r="E29" i="1"/>
  <c r="E41" i="1"/>
  <c r="E48" i="1"/>
  <c r="E49" i="1"/>
  <c r="E53" i="1"/>
  <c r="E60" i="1"/>
  <c r="E61" i="1"/>
  <c r="E63" i="1"/>
  <c r="E64" i="1"/>
  <c r="E65" i="1"/>
  <c r="E77" i="1"/>
  <c r="E84" i="1"/>
  <c r="E85" i="1"/>
  <c r="E89" i="1"/>
  <c r="E96" i="1"/>
  <c r="E97" i="1"/>
  <c r="E99" i="1"/>
  <c r="E100" i="1"/>
  <c r="E101" i="1"/>
  <c r="E113" i="1"/>
  <c r="E120" i="1"/>
  <c r="E121" i="1"/>
  <c r="E125" i="1"/>
  <c r="E132" i="1"/>
  <c r="E133" i="1"/>
  <c r="E135" i="1"/>
  <c r="E136" i="1"/>
  <c r="E137" i="1"/>
  <c r="E149" i="1"/>
  <c r="E156" i="1"/>
  <c r="E157" i="1"/>
  <c r="E161" i="1"/>
  <c r="E168" i="1"/>
  <c r="E169" i="1"/>
  <c r="E171" i="1"/>
  <c r="E172" i="1"/>
  <c r="E173" i="1"/>
  <c r="E192" i="1"/>
  <c r="E19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D14" i="1"/>
  <c r="E14" i="1" s="1"/>
  <c r="D15" i="1"/>
  <c r="E15" i="1" s="1"/>
  <c r="D16" i="1"/>
  <c r="E16" i="1" s="1"/>
  <c r="D17" i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D25" i="1"/>
  <c r="D26" i="1"/>
  <c r="E26" i="1" s="1"/>
  <c r="D27" i="1"/>
  <c r="D28" i="1"/>
  <c r="D29" i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D49" i="1"/>
  <c r="D50" i="1"/>
  <c r="E50" i="1" s="1"/>
  <c r="D51" i="1"/>
  <c r="E51" i="1" s="1"/>
  <c r="D52" i="1"/>
  <c r="E52" i="1" s="1"/>
  <c r="D53" i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D61" i="1"/>
  <c r="D62" i="1"/>
  <c r="E62" i="1" s="1"/>
  <c r="D63" i="1"/>
  <c r="D64" i="1"/>
  <c r="D65" i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D85" i="1"/>
  <c r="D86" i="1"/>
  <c r="E86" i="1" s="1"/>
  <c r="D87" i="1"/>
  <c r="E87" i="1" s="1"/>
  <c r="D88" i="1"/>
  <c r="E88" i="1" s="1"/>
  <c r="D89" i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D97" i="1"/>
  <c r="D98" i="1"/>
  <c r="E98" i="1" s="1"/>
  <c r="D99" i="1"/>
  <c r="D100" i="1"/>
  <c r="D101" i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D121" i="1"/>
  <c r="D122" i="1"/>
  <c r="E122" i="1" s="1"/>
  <c r="D123" i="1"/>
  <c r="E123" i="1" s="1"/>
  <c r="D124" i="1"/>
  <c r="E124" i="1" s="1"/>
  <c r="D125" i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D133" i="1"/>
  <c r="D134" i="1"/>
  <c r="E134" i="1" s="1"/>
  <c r="D135" i="1"/>
  <c r="D136" i="1"/>
  <c r="D137" i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D157" i="1"/>
  <c r="D158" i="1"/>
  <c r="E158" i="1" s="1"/>
  <c r="D159" i="1"/>
  <c r="E159" i="1" s="1"/>
  <c r="D160" i="1"/>
  <c r="E160" i="1" s="1"/>
  <c r="D161" i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D169" i="1"/>
  <c r="D170" i="1"/>
  <c r="E170" i="1" s="1"/>
  <c r="D171" i="1"/>
  <c r="D172" i="1"/>
  <c r="D173" i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D193" i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<sst xmlns="http://schemas.openxmlformats.org/spreadsheetml/2006/main" count="71" uniqueCount="36">
  <si>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</si>
  <si>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</si>
  <si>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</si>
  <si>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</si>
  <si>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</si>
  <si>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</si>
  <si>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</si>
  <si>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</si>
  <si>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</si>
  <si>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</si>
  <si>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</si>
  <si>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</si>
  <si>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</si>
  <si>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</si>
  <si>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</si>
  <si>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</si>
  <si>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</si>
  <si>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</si>
  <si>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</si>
  <si>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بررسی درخواست‌های اعتباری و تشکیل پرونده</t>
  </si>
  <si>
    <t>دقت و تکمیل کامل اطلاعات پرونده</t>
  </si>
  <si>
    <t>ارزیابی توان بازپرداخت مشتریان</t>
  </si>
  <si>
    <t>تحلیل دقیق و مستند توان بازپرداخت</t>
  </si>
  <si>
    <t>تعیین میزان اعتبار و فریز/آنفریز سهم</t>
  </si>
  <si>
    <t>اعمال صحیح و به‌موقع تصمیم اعتباری</t>
  </si>
  <si>
    <t>تهیه گزارش‌های اعتباری</t>
  </si>
  <si>
    <t>گزارش دقیق، شفاف و به‌موقع</t>
  </si>
  <si>
    <t>پایش حساب‌های اعتباری</t>
  </si>
  <si>
    <t>رصد مستمر و اقدام به‌موقع</t>
  </si>
  <si>
    <t>تعامل با مشتریان</t>
  </si>
  <si>
    <t>پاسخ‌گویی حرفه‌ای و مؤثر</t>
  </si>
  <si>
    <t>همکاری بین‌واحدی</t>
  </si>
  <si>
    <t>هماهنگی دقیق و تسهیل فرایندها</t>
  </si>
  <si>
    <t>کاهش خطا در ثبت یا تخصیص اعتبار</t>
  </si>
  <si>
    <t>ثبت صحیح و حداقل‌سازی خطا</t>
  </si>
  <si>
    <t>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</si>
</sst>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2" fillId="0" borderId="3" xfId="0" applyFont="1" applyBorder="1"/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0"/>
    <tableColumn id="2" xr3:uid="{7F75E32B-86C1-4ADB-BA33-485DFFCA0D99}" name="Task Title" dataDxfId="9"/>
    <tableColumn id="3" xr3:uid="{C378FD35-694E-4B91-AEC2-F928AFDA4A38}" name="To Do" dataDxfId="8">
      <calculatedColumnFormula>IFERROR(VLOOKUP(B2,KPI!A:B,2,FALSE),)</calculatedColumnFormula>
    </tableColumn>
    <tableColumn id="11" xr3:uid="{BED9BE0D-9BAC-4B18-B9B9-BADDC38624A8}" name="Priority" dataDxfId="7">
      <calculatedColumnFormula>IFERROR(VLOOKUP(B2,Task_Mapping!A:B,2,FALSE),)</calculatedColumnFormula>
    </tableColumn>
    <tableColumn id="4" xr3:uid="{4FD43129-1997-4043-B977-723B0B77015F}" name="Weight" dataDxfId="6">
      <calculatedColumnFormula>IFERROR(VLOOKUP(D2,Config!A:B,2,FALSE),)</calculatedColumnFormula>
    </tableColumn>
    <tableColumn id="5" xr3:uid="{39D5EF5D-BACA-4EFA-9D3C-AF62363865B6}" name="Start Time" dataDxfId="5"/>
    <tableColumn id="6" xr3:uid="{831AA866-8592-4106-B154-5C4E4C924E9E}" name="End Time" dataDxfId="4"/>
    <tableColumn id="7" xr3:uid="{7A60A899-BDE2-40F6-B07D-DC8C2C6F8132}" name="Duration (Hours)" dataDxfId="3"/>
    <tableColumn id="8" xr3:uid="{A2289791-7CAD-49D3-A654-91B5F01D7B8B}" name="Focus Score" dataDxfId="2"/>
    <tableColumn id="9" xr3:uid="{BFAA52D3-5359-4588-AFA6-767F68435FD6}" name="Status" dataDxfId="1"/>
    <tableColumn id="10" xr3:uid="{4F01CE0E-83B9-4A06-985B-C788E0ECBC0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6" sqref="B6:B12"/>
    </sheetView>
  </sheetViews>
  <sheetFormatPr defaultRowHeight="14.5" x14ac:dyDescent="0.35"/>
  <cols>
    <col min="1" max="1" width="18" style="2" customWidth="1"/>
    <col min="2" max="2" width="31.1796875" style="2" bestFit="1" customWidth="1"/>
    <col min="3" max="3" width="26.54296875" style="2" bestFit="1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35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11" priority="4" operator="equal">
      <formula>"فوری (Urgent)"</formula>
    </cfRule>
    <cfRule type="cellIs" dxfId="12" priority="3" operator="equal">
      <formula>"ضروری (Essential)"</formula>
    </cfRule>
    <cfRule type="cellIs" dxfId="13" priority="2" operator="equal">
      <formula>"مهم (Important)"</formula>
    </cfRule>
    <cfRule type="cellIs" dxfId="14" priority="1" operator="equal">
      <formula>"قابل پیگیری (Follow-up)"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Task_Mapping!$A$2:$A$9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H9"/>
  <sheetViews>
    <sheetView workbookViewId="0">
      <selection activeCell="C13" sqref="C13"/>
    </sheetView>
  </sheetViews>
  <sheetFormatPr defaultRowHeight="14.5" x14ac:dyDescent="0.35"/>
  <cols>
    <col min="1" max="1" width="31.1796875" bestFit="1" customWidth="1"/>
    <col min="2" max="2" width="18.54296875" bestFit="1" customWidth="1"/>
    <col min="3" max="3" width="26.54296875" bestFit="1" customWidth="1"/>
    <col min="4" max="4" width="6.81640625" bestFit="1" customWidth="1"/>
  </cols>
  <sheetData>
    <row r="1" spans="1:8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8" x14ac:dyDescent="0.35">
      <c r="A2" t="s">
        <v>19</v>
      </c>
      <c r="B2" t="s">
        <v>15</v>
      </c>
      <c r="C2" t="s">
        <v>20</v>
      </c>
      <c r="D2">
        <v>3</v>
      </c>
      <c r="H2" t="s">
        <v>14</v>
      </c>
    </row>
    <row r="3" spans="1:8" x14ac:dyDescent="0.35">
      <c r="A3" t="s">
        <v>21</v>
      </c>
      <c r="B3" t="s">
        <v>16</v>
      </c>
      <c r="C3" t="s">
        <v>22</v>
      </c>
      <c r="D3">
        <v>2</v>
      </c>
      <c r="H3" t="s">
        <v>15</v>
      </c>
    </row>
    <row r="4" spans="1:8" x14ac:dyDescent="0.35">
      <c r="A4" t="s">
        <v>23</v>
      </c>
      <c r="B4" t="s">
        <v>14</v>
      </c>
      <c r="C4" t="s">
        <v>24</v>
      </c>
      <c r="D4">
        <v>4</v>
      </c>
      <c r="H4" t="s">
        <v>16</v>
      </c>
    </row>
    <row r="5" spans="1:8" x14ac:dyDescent="0.35">
      <c r="A5" t="s">
        <v>25</v>
      </c>
      <c r="B5" t="s">
        <v>17</v>
      </c>
      <c r="C5" t="s">
        <v>26</v>
      </c>
      <c r="D5">
        <v>1</v>
      </c>
      <c r="H5" t="s">
        <v>17</v>
      </c>
    </row>
    <row r="6" spans="1:8" x14ac:dyDescent="0.35">
      <c r="A6" t="s">
        <v>27</v>
      </c>
      <c r="B6" t="s">
        <v>15</v>
      </c>
      <c r="C6" t="s">
        <v>28</v>
      </c>
      <c r="D6">
        <v>3</v>
      </c>
    </row>
    <row r="7" spans="1:8" x14ac:dyDescent="0.35">
      <c r="A7" t="s">
        <v>29</v>
      </c>
      <c r="B7" t="s">
        <v>16</v>
      </c>
      <c r="C7" t="s">
        <v>30</v>
      </c>
      <c r="D7">
        <v>2</v>
      </c>
    </row>
    <row r="8" spans="1:8" x14ac:dyDescent="0.35">
      <c r="A8" t="s">
        <v>31</v>
      </c>
      <c r="B8" t="s">
        <v>15</v>
      </c>
      <c r="C8" t="s">
        <v>32</v>
      </c>
      <c r="D8">
        <v>3</v>
      </c>
    </row>
    <row r="9" spans="1:8" x14ac:dyDescent="0.35">
      <c r="A9" t="s">
        <v>33</v>
      </c>
      <c r="B9" t="s">
        <v>16</v>
      </c>
      <c r="C9" t="s">
        <v>34</v>
      </c>
      <c r="D9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9"/>
  <sheetViews>
    <sheetView workbookViewId="0">
      <selection activeCell="B16" sqref="B16"/>
    </sheetView>
  </sheetViews>
  <sheetFormatPr defaultRowHeight="14.5" x14ac:dyDescent="0.35"/>
  <cols>
    <col min="1" max="1" width="31.1796875" bestFit="1" customWidth="1"/>
    <col min="2" max="2" width="26.54296875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t="s">
        <v>19</v>
      </c>
      <c r="B2" t="s">
        <v>20</v>
      </c>
    </row>
    <row r="3" spans="1:2" x14ac:dyDescent="0.35">
      <c r="A3" t="s">
        <v>21</v>
      </c>
      <c r="B3" t="s">
        <v>22</v>
      </c>
    </row>
    <row r="4" spans="1:2" x14ac:dyDescent="0.35">
      <c r="A4" t="s">
        <v>23</v>
      </c>
      <c r="B4" t="s">
        <v>24</v>
      </c>
    </row>
    <row r="5" spans="1:2" x14ac:dyDescent="0.35">
      <c r="A5" t="s">
        <v>25</v>
      </c>
      <c r="B5" t="s">
        <v>26</v>
      </c>
    </row>
    <row r="6" spans="1:2" x14ac:dyDescent="0.35">
      <c r="A6" t="s">
        <v>27</v>
      </c>
      <c r="B6" t="s">
        <v>28</v>
      </c>
    </row>
    <row r="7" spans="1:2" x14ac:dyDescent="0.35">
      <c r="A7" t="s">
        <v>29</v>
      </c>
      <c r="B7" t="s">
        <v>30</v>
      </c>
    </row>
    <row r="8" spans="1:2" x14ac:dyDescent="0.35">
      <c r="A8" t="s">
        <v>31</v>
      </c>
      <c r="B8" t="s">
        <v>32</v>
      </c>
    </row>
    <row r="9" spans="1:2" x14ac:dyDescent="0.35">
      <c r="A9" t="s">
        <v>33</v>
      </c>
      <c r="B9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5" sqref="A5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2026-06-02T22:42:36Z</dcterms:modified>
</cp:coreProperties>
</file>